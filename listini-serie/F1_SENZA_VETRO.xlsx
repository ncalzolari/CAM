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LISTINO — FINESTRA 1 ANTA (1A75) — C75S SENZA VETRO — RAL 7016 (costo +213%)</t>
        </is>
      </c>
    </row>
    <row r="2">
      <c r="A2" s="2" t="inlineStr">
        <is>
          <t>H/L</t>
        </is>
      </c>
      <c r="B2" s="3" t="n">
        <v>500</v>
      </c>
      <c r="C2" s="3" t="n">
        <v>600</v>
      </c>
      <c r="D2" s="3" t="n">
        <v>700</v>
      </c>
      <c r="E2" s="3" t="n">
        <v>800</v>
      </c>
      <c r="F2" s="3" t="n">
        <v>900</v>
      </c>
      <c r="G2" s="3" t="n">
        <v>1000</v>
      </c>
      <c r="H2" s="3" t="n">
        <v>1100</v>
      </c>
      <c r="I2" s="3" t="n">
        <v>1200</v>
      </c>
    </row>
    <row r="3">
      <c r="A3" s="2" t="n">
        <v>500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</row>
    <row r="4">
      <c r="A4" s="2" t="n">
        <v>600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</row>
    <row r="5">
      <c r="A5" s="2" t="n">
        <v>700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</row>
    <row r="6">
      <c r="A6" s="2" t="n">
        <v>800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</row>
    <row r="7">
      <c r="A7" s="2" t="n">
        <v>900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</row>
    <row r="8">
      <c r="A8" s="2" t="n">
        <v>1000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</row>
    <row r="9">
      <c r="A9" s="2" t="n">
        <v>1100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</row>
    <row r="10">
      <c r="A10" s="2" t="n">
        <v>1200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</row>
    <row r="11">
      <c r="A11" s="2" t="n">
        <v>1300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</row>
    <row r="12">
      <c r="A12" s="2" t="n">
        <v>1400</v>
      </c>
      <c r="B12" s="4">
        <f>ROUND(ROUND((((Coefficienti!$B$1+Coefficienti!$B$2*B$2+Coefficienti!$B$3*$A12)*Parametri!$B$1+(Coefficienti!$B$4+Coefficienti!$B$5*B$2+Coefficienti!$B$6*$A12)*Parametri!$B$2)*(1-Parametri!$B$3)+((Coefficienti!$B$7+Coefficienti!$B$8*B$2+Coefficienti!$B$9*$A12)+Coefficienti!$B$10)*(1-Parametri!$B$4))*(1+Parametri!$B$5)+FerrGriglia!B11+Coefficienti!$B$11*Parametri!$B$6,2)*(1+Parametri!$B$7),2)</f>
        <v/>
      </c>
      <c r="C12" s="4">
        <f>ROUND(ROUND((((Coefficienti!$B$1+Coefficienti!$B$2*C$2+Coefficienti!$B$3*$A12)*Parametri!$B$1+(Coefficienti!$B$4+Coefficienti!$B$5*C$2+Coefficienti!$B$6*$A12)*Parametri!$B$2)*(1-Parametri!$B$3)+((Coefficienti!$B$7+Coefficienti!$B$8*C$2+Coefficienti!$B$9*$A12)+Coefficienti!$B$10)*(1-Parametri!$B$4))*(1+Parametri!$B$5)+FerrGriglia!C11+Coefficienti!$B$11*Parametri!$B$6,2)*(1+Parametri!$B$7),2)</f>
        <v/>
      </c>
      <c r="D12" s="4">
        <f>ROUND(ROUND((((Coefficienti!$B$1+Coefficienti!$B$2*D$2+Coefficienti!$B$3*$A12)*Parametri!$B$1+(Coefficienti!$B$4+Coefficienti!$B$5*D$2+Coefficienti!$B$6*$A12)*Parametri!$B$2)*(1-Parametri!$B$3)+((Coefficienti!$B$7+Coefficienti!$B$8*D$2+Coefficienti!$B$9*$A12)+Coefficienti!$B$10)*(1-Parametri!$B$4))*(1+Parametri!$B$5)+FerrGriglia!D11+Coefficienti!$B$11*Parametri!$B$6,2)*(1+Parametri!$B$7),2)</f>
        <v/>
      </c>
      <c r="E12" s="4">
        <f>ROUND(ROUND((((Coefficienti!$B$1+Coefficienti!$B$2*E$2+Coefficienti!$B$3*$A12)*Parametri!$B$1+(Coefficienti!$B$4+Coefficienti!$B$5*E$2+Coefficienti!$B$6*$A12)*Parametri!$B$2)*(1-Parametri!$B$3)+((Coefficienti!$B$7+Coefficienti!$B$8*E$2+Coefficienti!$B$9*$A12)+Coefficienti!$B$10)*(1-Parametri!$B$4))*(1+Parametri!$B$5)+FerrGriglia!E11+Coefficienti!$B$11*Parametri!$B$6,2)*(1+Parametri!$B$7),2)</f>
        <v/>
      </c>
      <c r="F12" s="4">
        <f>ROUND(ROUND((((Coefficienti!$B$1+Coefficienti!$B$2*F$2+Coefficienti!$B$3*$A12)*Parametri!$B$1+(Coefficienti!$B$4+Coefficienti!$B$5*F$2+Coefficienti!$B$6*$A12)*Parametri!$B$2)*(1-Parametri!$B$3)+((Coefficienti!$B$7+Coefficienti!$B$8*F$2+Coefficienti!$B$9*$A12)+Coefficienti!$B$10)*(1-Parametri!$B$4))*(1+Parametri!$B$5)+FerrGriglia!F11+Coefficienti!$B$11*Parametri!$B$6,2)*(1+Parametri!$B$7),2)</f>
        <v/>
      </c>
      <c r="G12" s="4">
        <f>ROUND(ROUND((((Coefficienti!$B$1+Coefficienti!$B$2*G$2+Coefficienti!$B$3*$A12)*Parametri!$B$1+(Coefficienti!$B$4+Coefficienti!$B$5*G$2+Coefficienti!$B$6*$A12)*Parametri!$B$2)*(1-Parametri!$B$3)+((Coefficienti!$B$7+Coefficienti!$B$8*G$2+Coefficienti!$B$9*$A12)+Coefficienti!$B$10)*(1-Parametri!$B$4))*(1+Parametri!$B$5)+FerrGriglia!G11+Coefficienti!$B$11*Parametri!$B$6,2)*(1+Parametri!$B$7),2)</f>
        <v/>
      </c>
      <c r="H12" s="4">
        <f>ROUND(ROUND((((Coefficienti!$B$1+Coefficienti!$B$2*H$2+Coefficienti!$B$3*$A12)*Parametri!$B$1+(Coefficienti!$B$4+Coefficienti!$B$5*H$2+Coefficienti!$B$6*$A12)*Parametri!$B$2)*(1-Parametri!$B$3)+((Coefficienti!$B$7+Coefficienti!$B$8*H$2+Coefficienti!$B$9*$A12)+Coefficienti!$B$10)*(1-Parametri!$B$4))*(1+Parametri!$B$5)+FerrGriglia!H11+Coefficienti!$B$11*Parametri!$B$6,2)*(1+Parametri!$B$7),2)</f>
        <v/>
      </c>
      <c r="I12" s="4">
        <f>ROUND(ROUND((((Coefficienti!$B$1+Coefficienti!$B$2*I$2+Coefficienti!$B$3*$A12)*Parametri!$B$1+(Coefficienti!$B$4+Coefficienti!$B$5*I$2+Coefficienti!$B$6*$A12)*Parametri!$B$2)*(1-Parametri!$B$3)+((Coefficienti!$B$7+Coefficienti!$B$8*I$2+Coefficienti!$B$9*$A12)+Coefficienti!$B$10)*(1-Parametri!$B$4))*(1+Parametri!$B$5)+FerrGriglia!I11+Coefficienti!$B$11*Parametri!$B$6,2)*(1+Parametri!$B$7),2)</f>
        <v/>
      </c>
    </row>
    <row r="13">
      <c r="A13" s="2" t="n">
        <v>1500</v>
      </c>
      <c r="B13" s="4">
        <f>ROUND(ROUND((((Coefficienti!$B$1+Coefficienti!$B$2*B$2+Coefficienti!$B$3*$A13)*Parametri!$B$1+(Coefficienti!$B$4+Coefficienti!$B$5*B$2+Coefficienti!$B$6*$A13)*Parametri!$B$2)*(1-Parametri!$B$3)+((Coefficienti!$B$7+Coefficienti!$B$8*B$2+Coefficienti!$B$9*$A13)+Coefficienti!$B$10)*(1-Parametri!$B$4))*(1+Parametri!$B$5)+FerrGriglia!B12+Coefficienti!$B$11*Parametri!$B$6,2)*(1+Parametri!$B$7),2)</f>
        <v/>
      </c>
      <c r="C13" s="4">
        <f>ROUND(ROUND((((Coefficienti!$B$1+Coefficienti!$B$2*C$2+Coefficienti!$B$3*$A13)*Parametri!$B$1+(Coefficienti!$B$4+Coefficienti!$B$5*C$2+Coefficienti!$B$6*$A13)*Parametri!$B$2)*(1-Parametri!$B$3)+((Coefficienti!$B$7+Coefficienti!$B$8*C$2+Coefficienti!$B$9*$A13)+Coefficienti!$B$10)*(1-Parametri!$B$4))*(1+Parametri!$B$5)+FerrGriglia!C12+Coefficienti!$B$11*Parametri!$B$6,2)*(1+Parametri!$B$7),2)</f>
        <v/>
      </c>
      <c r="D13" s="4">
        <f>ROUND(ROUND((((Coefficienti!$B$1+Coefficienti!$B$2*D$2+Coefficienti!$B$3*$A13)*Parametri!$B$1+(Coefficienti!$B$4+Coefficienti!$B$5*D$2+Coefficienti!$B$6*$A13)*Parametri!$B$2)*(1-Parametri!$B$3)+((Coefficienti!$B$7+Coefficienti!$B$8*D$2+Coefficienti!$B$9*$A13)+Coefficienti!$B$10)*(1-Parametri!$B$4))*(1+Parametri!$B$5)+FerrGriglia!D12+Coefficienti!$B$11*Parametri!$B$6,2)*(1+Parametri!$B$7),2)</f>
        <v/>
      </c>
      <c r="E13" s="4">
        <f>ROUND(ROUND((((Coefficienti!$B$1+Coefficienti!$B$2*E$2+Coefficienti!$B$3*$A13)*Parametri!$B$1+(Coefficienti!$B$4+Coefficienti!$B$5*E$2+Coefficienti!$B$6*$A13)*Parametri!$B$2)*(1-Parametri!$B$3)+((Coefficienti!$B$7+Coefficienti!$B$8*E$2+Coefficienti!$B$9*$A13)+Coefficienti!$B$10)*(1-Parametri!$B$4))*(1+Parametri!$B$5)+FerrGriglia!E12+Coefficienti!$B$11*Parametri!$B$6,2)*(1+Parametri!$B$7),2)</f>
        <v/>
      </c>
      <c r="F13" s="4">
        <f>ROUND(ROUND((((Coefficienti!$B$1+Coefficienti!$B$2*F$2+Coefficienti!$B$3*$A13)*Parametri!$B$1+(Coefficienti!$B$4+Coefficienti!$B$5*F$2+Coefficienti!$B$6*$A13)*Parametri!$B$2)*(1-Parametri!$B$3)+((Coefficienti!$B$7+Coefficienti!$B$8*F$2+Coefficienti!$B$9*$A13)+Coefficienti!$B$10)*(1-Parametri!$B$4))*(1+Parametri!$B$5)+FerrGriglia!F12+Coefficienti!$B$11*Parametri!$B$6,2)*(1+Parametri!$B$7),2)</f>
        <v/>
      </c>
      <c r="G13" s="4">
        <f>ROUND(ROUND((((Coefficienti!$B$1+Coefficienti!$B$2*G$2+Coefficienti!$B$3*$A13)*Parametri!$B$1+(Coefficienti!$B$4+Coefficienti!$B$5*G$2+Coefficienti!$B$6*$A13)*Parametri!$B$2)*(1-Parametri!$B$3)+((Coefficienti!$B$7+Coefficienti!$B$8*G$2+Coefficienti!$B$9*$A13)+Coefficienti!$B$10)*(1-Parametri!$B$4))*(1+Parametri!$B$5)+FerrGriglia!G12+Coefficienti!$B$11*Parametri!$B$6,2)*(1+Parametri!$B$7),2)</f>
        <v/>
      </c>
      <c r="H13" s="4">
        <f>ROUND(ROUND((((Coefficienti!$B$1+Coefficienti!$B$2*H$2+Coefficienti!$B$3*$A13)*Parametri!$B$1+(Coefficienti!$B$4+Coefficienti!$B$5*H$2+Coefficienti!$B$6*$A13)*Parametri!$B$2)*(1-Parametri!$B$3)+((Coefficienti!$B$7+Coefficienti!$B$8*H$2+Coefficienti!$B$9*$A13)+Coefficienti!$B$10)*(1-Parametri!$B$4))*(1+Parametri!$B$5)+FerrGriglia!H12+Coefficienti!$B$11*Parametri!$B$6,2)*(1+Parametri!$B$7),2)</f>
        <v/>
      </c>
      <c r="I13" s="4">
        <f>ROUND(ROUND((((Coefficienti!$B$1+Coefficienti!$B$2*I$2+Coefficienti!$B$3*$A13)*Parametri!$B$1+(Coefficienti!$B$4+Coefficienti!$B$5*I$2+Coefficienti!$B$6*$A13)*Parametri!$B$2)*(1-Parametri!$B$3)+((Coefficienti!$B$7+Coefficienti!$B$8*I$2+Coefficienti!$B$9*$A13)+Coefficienti!$B$10)*(1-Parametri!$B$4))*(1+Parametri!$B$5)+FerrGriglia!I12+Coefficienti!$B$11*Parametri!$B$6,2)*(1+Parametri!$B$7),2)</f>
        <v/>
      </c>
    </row>
    <row r="14">
      <c r="A14" s="2" t="n">
        <v>1600</v>
      </c>
      <c r="B14" s="4">
        <f>ROUND(ROUND((((Coefficienti!$B$1+Coefficienti!$B$2*B$2+Coefficienti!$B$3*$A14)*Parametri!$B$1+(Coefficienti!$B$4+Coefficienti!$B$5*B$2+Coefficienti!$B$6*$A14)*Parametri!$B$2)*(1-Parametri!$B$3)+((Coefficienti!$B$7+Coefficienti!$B$8*B$2+Coefficienti!$B$9*$A14)+Coefficienti!$B$10)*(1-Parametri!$B$4))*(1+Parametri!$B$5)+FerrGriglia!B13+Coefficienti!$B$11*Parametri!$B$6,2)*(1+Parametri!$B$7),2)</f>
        <v/>
      </c>
      <c r="C14" s="4">
        <f>ROUND(ROUND((((Coefficienti!$B$1+Coefficienti!$B$2*C$2+Coefficienti!$B$3*$A14)*Parametri!$B$1+(Coefficienti!$B$4+Coefficienti!$B$5*C$2+Coefficienti!$B$6*$A14)*Parametri!$B$2)*(1-Parametri!$B$3)+((Coefficienti!$B$7+Coefficienti!$B$8*C$2+Coefficienti!$B$9*$A14)+Coefficienti!$B$10)*(1-Parametri!$B$4))*(1+Parametri!$B$5)+FerrGriglia!C13+Coefficienti!$B$11*Parametri!$B$6,2)*(1+Parametri!$B$7),2)</f>
        <v/>
      </c>
      <c r="D14" s="4">
        <f>ROUND(ROUND((((Coefficienti!$B$1+Coefficienti!$B$2*D$2+Coefficienti!$B$3*$A14)*Parametri!$B$1+(Coefficienti!$B$4+Coefficienti!$B$5*D$2+Coefficienti!$B$6*$A14)*Parametri!$B$2)*(1-Parametri!$B$3)+((Coefficienti!$B$7+Coefficienti!$B$8*D$2+Coefficienti!$B$9*$A14)+Coefficienti!$B$10)*(1-Parametri!$B$4))*(1+Parametri!$B$5)+FerrGriglia!D13+Coefficienti!$B$11*Parametri!$B$6,2)*(1+Parametri!$B$7),2)</f>
        <v/>
      </c>
      <c r="E14" s="4">
        <f>ROUND(ROUND((((Coefficienti!$B$1+Coefficienti!$B$2*E$2+Coefficienti!$B$3*$A14)*Parametri!$B$1+(Coefficienti!$B$4+Coefficienti!$B$5*E$2+Coefficienti!$B$6*$A14)*Parametri!$B$2)*(1-Parametri!$B$3)+((Coefficienti!$B$7+Coefficienti!$B$8*E$2+Coefficienti!$B$9*$A14)+Coefficienti!$B$10)*(1-Parametri!$B$4))*(1+Parametri!$B$5)+FerrGriglia!E13+Coefficienti!$B$11*Parametri!$B$6,2)*(1+Parametri!$B$7),2)</f>
        <v/>
      </c>
      <c r="F14" s="4">
        <f>ROUND(ROUND((((Coefficienti!$B$1+Coefficienti!$B$2*F$2+Coefficienti!$B$3*$A14)*Parametri!$B$1+(Coefficienti!$B$4+Coefficienti!$B$5*F$2+Coefficienti!$B$6*$A14)*Parametri!$B$2)*(1-Parametri!$B$3)+((Coefficienti!$B$7+Coefficienti!$B$8*F$2+Coefficienti!$B$9*$A14)+Coefficienti!$B$10)*(1-Parametri!$B$4))*(1+Parametri!$B$5)+FerrGriglia!F13+Coefficienti!$B$11*Parametri!$B$6,2)*(1+Parametri!$B$7),2)</f>
        <v/>
      </c>
      <c r="G14" s="4">
        <f>ROUND(ROUND((((Coefficienti!$B$1+Coefficienti!$B$2*G$2+Coefficienti!$B$3*$A14)*Parametri!$B$1+(Coefficienti!$B$4+Coefficienti!$B$5*G$2+Coefficienti!$B$6*$A14)*Parametri!$B$2)*(1-Parametri!$B$3)+((Coefficienti!$B$7+Coefficienti!$B$8*G$2+Coefficienti!$B$9*$A14)+Coefficienti!$B$10)*(1-Parametri!$B$4))*(1+Parametri!$B$5)+FerrGriglia!G13+Coefficienti!$B$11*Parametri!$B$6,2)*(1+Parametri!$B$7),2)</f>
        <v/>
      </c>
      <c r="H14" s="4">
        <f>ROUND(ROUND((((Coefficienti!$B$1+Coefficienti!$B$2*H$2+Coefficienti!$B$3*$A14)*Parametri!$B$1+(Coefficienti!$B$4+Coefficienti!$B$5*H$2+Coefficienti!$B$6*$A14)*Parametri!$B$2)*(1-Parametri!$B$3)+((Coefficienti!$B$7+Coefficienti!$B$8*H$2+Coefficienti!$B$9*$A14)+Coefficienti!$B$10)*(1-Parametri!$B$4))*(1+Parametri!$B$5)+FerrGriglia!H13+Coefficienti!$B$11*Parametri!$B$6,2)*(1+Parametri!$B$7),2)</f>
        <v/>
      </c>
      <c r="I14" s="4">
        <f>ROUND(ROUND((((Coefficienti!$B$1+Coefficienti!$B$2*I$2+Coefficienti!$B$3*$A14)*Parametri!$B$1+(Coefficienti!$B$4+Coefficienti!$B$5*I$2+Coefficienti!$B$6*$A14)*Parametri!$B$2)*(1-Parametri!$B$3)+((Coefficienti!$B$7+Coefficienti!$B$8*I$2+Coefficienti!$B$9*$A14)+Coefficienti!$B$10)*(1-Parametri!$B$4))*(1+Parametri!$B$5)+FerrGriglia!I13+Coefficienti!$B$11*Parametri!$B$6,2)*(1+Parametri!$B$7),2)</f>
        <v/>
      </c>
    </row>
    <row r="15">
      <c r="A15" s="2" t="n">
        <v>1700</v>
      </c>
      <c r="B15" s="4">
        <f>ROUND(ROUND((((Coefficienti!$B$1+Coefficienti!$B$2*B$2+Coefficienti!$B$3*$A15)*Parametri!$B$1+(Coefficienti!$B$4+Coefficienti!$B$5*B$2+Coefficienti!$B$6*$A15)*Parametri!$B$2)*(1-Parametri!$B$3)+((Coefficienti!$B$7+Coefficienti!$B$8*B$2+Coefficienti!$B$9*$A15)+Coefficienti!$B$10)*(1-Parametri!$B$4))*(1+Parametri!$B$5)+FerrGriglia!B14+Coefficienti!$B$11*Parametri!$B$6,2)*(1+Parametri!$B$7),2)</f>
        <v/>
      </c>
      <c r="C15" s="4">
        <f>ROUND(ROUND((((Coefficienti!$B$1+Coefficienti!$B$2*C$2+Coefficienti!$B$3*$A15)*Parametri!$B$1+(Coefficienti!$B$4+Coefficienti!$B$5*C$2+Coefficienti!$B$6*$A15)*Parametri!$B$2)*(1-Parametri!$B$3)+((Coefficienti!$B$7+Coefficienti!$B$8*C$2+Coefficienti!$B$9*$A15)+Coefficienti!$B$10)*(1-Parametri!$B$4))*(1+Parametri!$B$5)+FerrGriglia!C14+Coefficienti!$B$11*Parametri!$B$6,2)*(1+Parametri!$B$7),2)</f>
        <v/>
      </c>
      <c r="D15" s="4">
        <f>ROUND(ROUND((((Coefficienti!$B$1+Coefficienti!$B$2*D$2+Coefficienti!$B$3*$A15)*Parametri!$B$1+(Coefficienti!$B$4+Coefficienti!$B$5*D$2+Coefficienti!$B$6*$A15)*Parametri!$B$2)*(1-Parametri!$B$3)+((Coefficienti!$B$7+Coefficienti!$B$8*D$2+Coefficienti!$B$9*$A15)+Coefficienti!$B$10)*(1-Parametri!$B$4))*(1+Parametri!$B$5)+FerrGriglia!D14+Coefficienti!$B$11*Parametri!$B$6,2)*(1+Parametri!$B$7),2)</f>
        <v/>
      </c>
      <c r="E15" s="4">
        <f>ROUND(ROUND((((Coefficienti!$B$1+Coefficienti!$B$2*E$2+Coefficienti!$B$3*$A15)*Parametri!$B$1+(Coefficienti!$B$4+Coefficienti!$B$5*E$2+Coefficienti!$B$6*$A15)*Parametri!$B$2)*(1-Parametri!$B$3)+((Coefficienti!$B$7+Coefficienti!$B$8*E$2+Coefficienti!$B$9*$A15)+Coefficienti!$B$10)*(1-Parametri!$B$4))*(1+Parametri!$B$5)+FerrGriglia!E14+Coefficienti!$B$11*Parametri!$B$6,2)*(1+Parametri!$B$7),2)</f>
        <v/>
      </c>
      <c r="F15" s="4">
        <f>ROUND(ROUND((((Coefficienti!$B$1+Coefficienti!$B$2*F$2+Coefficienti!$B$3*$A15)*Parametri!$B$1+(Coefficienti!$B$4+Coefficienti!$B$5*F$2+Coefficienti!$B$6*$A15)*Parametri!$B$2)*(1-Parametri!$B$3)+((Coefficienti!$B$7+Coefficienti!$B$8*F$2+Coefficienti!$B$9*$A15)+Coefficienti!$B$10)*(1-Parametri!$B$4))*(1+Parametri!$B$5)+FerrGriglia!F14+Coefficienti!$B$11*Parametri!$B$6,2)*(1+Parametri!$B$7),2)</f>
        <v/>
      </c>
      <c r="G15" s="4">
        <f>ROUND(ROUND((((Coefficienti!$B$1+Coefficienti!$B$2*G$2+Coefficienti!$B$3*$A15)*Parametri!$B$1+(Coefficienti!$B$4+Coefficienti!$B$5*G$2+Coefficienti!$B$6*$A15)*Parametri!$B$2)*(1-Parametri!$B$3)+((Coefficienti!$B$7+Coefficienti!$B$8*G$2+Coefficienti!$B$9*$A15)+Coefficienti!$B$10)*(1-Parametri!$B$4))*(1+Parametri!$B$5)+FerrGriglia!G14+Coefficienti!$B$11*Parametri!$B$6,2)*(1+Parametri!$B$7),2)</f>
        <v/>
      </c>
      <c r="H15" s="4">
        <f>ROUND(ROUND((((Coefficienti!$B$1+Coefficienti!$B$2*H$2+Coefficienti!$B$3*$A15)*Parametri!$B$1+(Coefficienti!$B$4+Coefficienti!$B$5*H$2+Coefficienti!$B$6*$A15)*Parametri!$B$2)*(1-Parametri!$B$3)+((Coefficienti!$B$7+Coefficienti!$B$8*H$2+Coefficienti!$B$9*$A15)+Coefficienti!$B$10)*(1-Parametri!$B$4))*(1+Parametri!$B$5)+FerrGriglia!H14+Coefficienti!$B$11*Parametri!$B$6,2)*(1+Parametri!$B$7),2)</f>
        <v/>
      </c>
      <c r="I15" s="4">
        <f>ROUND(ROUND((((Coefficienti!$B$1+Coefficienti!$B$2*I$2+Coefficienti!$B$3*$A15)*Parametri!$B$1+(Coefficienti!$B$4+Coefficienti!$B$5*I$2+Coefficienti!$B$6*$A15)*Parametri!$B$2)*(1-Parametri!$B$3)+((Coefficienti!$B$7+Coefficienti!$B$8*I$2+Coefficienti!$B$9*$A15)+Coefficienti!$B$10)*(1-Parametri!$B$4))*(1+Parametri!$B$5)+FerrGriglia!I14+Coefficienti!$B$11*Parametri!$B$6,2)*(1+Parametri!$B$7),2)</f>
        <v/>
      </c>
    </row>
    <row r="16">
      <c r="A16" s="2" t="n">
        <v>1800</v>
      </c>
      <c r="B16" s="4">
        <f>ROUND(ROUND((((Coefficienti!$B$1+Coefficienti!$B$2*B$2+Coefficienti!$B$3*$A16)*Parametri!$B$1+(Coefficienti!$B$4+Coefficienti!$B$5*B$2+Coefficienti!$B$6*$A16)*Parametri!$B$2)*(1-Parametri!$B$3)+((Coefficienti!$B$7+Coefficienti!$B$8*B$2+Coefficienti!$B$9*$A16)+Coefficienti!$B$10)*(1-Parametri!$B$4))*(1+Parametri!$B$5)+FerrGriglia!B15+Coefficienti!$B$11*Parametri!$B$6,2)*(1+Parametri!$B$7),2)</f>
        <v/>
      </c>
      <c r="C16" s="4">
        <f>ROUND(ROUND((((Coefficienti!$B$1+Coefficienti!$B$2*C$2+Coefficienti!$B$3*$A16)*Parametri!$B$1+(Coefficienti!$B$4+Coefficienti!$B$5*C$2+Coefficienti!$B$6*$A16)*Parametri!$B$2)*(1-Parametri!$B$3)+((Coefficienti!$B$7+Coefficienti!$B$8*C$2+Coefficienti!$B$9*$A16)+Coefficienti!$B$10)*(1-Parametri!$B$4))*(1+Parametri!$B$5)+FerrGriglia!C15+Coefficienti!$B$11*Parametri!$B$6,2)*(1+Parametri!$B$7),2)</f>
        <v/>
      </c>
      <c r="D16" s="4">
        <f>ROUND(ROUND((((Coefficienti!$B$1+Coefficienti!$B$2*D$2+Coefficienti!$B$3*$A16)*Parametri!$B$1+(Coefficienti!$B$4+Coefficienti!$B$5*D$2+Coefficienti!$B$6*$A16)*Parametri!$B$2)*(1-Parametri!$B$3)+((Coefficienti!$B$7+Coefficienti!$B$8*D$2+Coefficienti!$B$9*$A16)+Coefficienti!$B$10)*(1-Parametri!$B$4))*(1+Parametri!$B$5)+FerrGriglia!D15+Coefficienti!$B$11*Parametri!$B$6,2)*(1+Parametri!$B$7),2)</f>
        <v/>
      </c>
      <c r="E16" s="4">
        <f>ROUND(ROUND((((Coefficienti!$B$1+Coefficienti!$B$2*E$2+Coefficienti!$B$3*$A16)*Parametri!$B$1+(Coefficienti!$B$4+Coefficienti!$B$5*E$2+Coefficienti!$B$6*$A16)*Parametri!$B$2)*(1-Parametri!$B$3)+((Coefficienti!$B$7+Coefficienti!$B$8*E$2+Coefficienti!$B$9*$A16)+Coefficienti!$B$10)*(1-Parametri!$B$4))*(1+Parametri!$B$5)+FerrGriglia!E15+Coefficienti!$B$11*Parametri!$B$6,2)*(1+Parametri!$B$7),2)</f>
        <v/>
      </c>
      <c r="F16" s="4">
        <f>ROUND(ROUND((((Coefficienti!$B$1+Coefficienti!$B$2*F$2+Coefficienti!$B$3*$A16)*Parametri!$B$1+(Coefficienti!$B$4+Coefficienti!$B$5*F$2+Coefficienti!$B$6*$A16)*Parametri!$B$2)*(1-Parametri!$B$3)+((Coefficienti!$B$7+Coefficienti!$B$8*F$2+Coefficienti!$B$9*$A16)+Coefficienti!$B$10)*(1-Parametri!$B$4))*(1+Parametri!$B$5)+FerrGriglia!F15+Coefficienti!$B$11*Parametri!$B$6,2)*(1+Parametri!$B$7),2)</f>
        <v/>
      </c>
      <c r="G16" s="4">
        <f>ROUND(ROUND((((Coefficienti!$B$1+Coefficienti!$B$2*G$2+Coefficienti!$B$3*$A16)*Parametri!$B$1+(Coefficienti!$B$4+Coefficienti!$B$5*G$2+Coefficienti!$B$6*$A16)*Parametri!$B$2)*(1-Parametri!$B$3)+((Coefficienti!$B$7+Coefficienti!$B$8*G$2+Coefficienti!$B$9*$A16)+Coefficienti!$B$10)*(1-Parametri!$B$4))*(1+Parametri!$B$5)+FerrGriglia!G15+Coefficienti!$B$11*Parametri!$B$6,2)*(1+Parametri!$B$7),2)</f>
        <v/>
      </c>
      <c r="H16" s="4">
        <f>ROUND(ROUND((((Coefficienti!$B$1+Coefficienti!$B$2*H$2+Coefficienti!$B$3*$A16)*Parametri!$B$1+(Coefficienti!$B$4+Coefficienti!$B$5*H$2+Coefficienti!$B$6*$A16)*Parametri!$B$2)*(1-Parametri!$B$3)+((Coefficienti!$B$7+Coefficienti!$B$8*H$2+Coefficienti!$B$9*$A16)+Coefficienti!$B$10)*(1-Parametri!$B$4))*(1+Parametri!$B$5)+FerrGriglia!H15+Coefficienti!$B$11*Parametri!$B$6,2)*(1+Parametri!$B$7),2)</f>
        <v/>
      </c>
      <c r="I16" s="4">
        <f>ROUND(ROUND((((Coefficienti!$B$1+Coefficienti!$B$2*I$2+Coefficienti!$B$3*$A16)*Parametri!$B$1+(Coefficienti!$B$4+Coefficienti!$B$5*I$2+Coefficienti!$B$6*$A16)*Parametri!$B$2)*(1-Parametri!$B$3)+((Coefficienti!$B$7+Coefficienti!$B$8*I$2+Coefficienti!$B$9*$A16)+Coefficienti!$B$10)*(1-Parametri!$B$4))*(1+Parametri!$B$5)+FerrGriglia!I15+Coefficienti!$B$11*Parametri!$B$6,2)*(1+Parametri!$B$7),2)</f>
        <v/>
      </c>
    </row>
    <row r="17">
      <c r="A17" s="2" t="n">
        <v>1900</v>
      </c>
      <c r="B17" s="4">
        <f>ROUND(ROUND((((Coefficienti!$B$1+Coefficienti!$B$2*B$2+Coefficienti!$B$3*$A17)*Parametri!$B$1+(Coefficienti!$B$4+Coefficienti!$B$5*B$2+Coefficienti!$B$6*$A17)*Parametri!$B$2)*(1-Parametri!$B$3)+((Coefficienti!$B$7+Coefficienti!$B$8*B$2+Coefficienti!$B$9*$A17)+Coefficienti!$B$10)*(1-Parametri!$B$4))*(1+Parametri!$B$5)+FerrGriglia!B16+Coefficienti!$B$11*Parametri!$B$6,2)*(1+Parametri!$B$7),2)</f>
        <v/>
      </c>
      <c r="C17" s="4">
        <f>ROUND(ROUND((((Coefficienti!$B$1+Coefficienti!$B$2*C$2+Coefficienti!$B$3*$A17)*Parametri!$B$1+(Coefficienti!$B$4+Coefficienti!$B$5*C$2+Coefficienti!$B$6*$A17)*Parametri!$B$2)*(1-Parametri!$B$3)+((Coefficienti!$B$7+Coefficienti!$B$8*C$2+Coefficienti!$B$9*$A17)+Coefficienti!$B$10)*(1-Parametri!$B$4))*(1+Parametri!$B$5)+FerrGriglia!C16+Coefficienti!$B$11*Parametri!$B$6,2)*(1+Parametri!$B$7),2)</f>
        <v/>
      </c>
      <c r="D17" s="4">
        <f>ROUND(ROUND((((Coefficienti!$B$1+Coefficienti!$B$2*D$2+Coefficienti!$B$3*$A17)*Parametri!$B$1+(Coefficienti!$B$4+Coefficienti!$B$5*D$2+Coefficienti!$B$6*$A17)*Parametri!$B$2)*(1-Parametri!$B$3)+((Coefficienti!$B$7+Coefficienti!$B$8*D$2+Coefficienti!$B$9*$A17)+Coefficienti!$B$10)*(1-Parametri!$B$4))*(1+Parametri!$B$5)+FerrGriglia!D16+Coefficienti!$B$11*Parametri!$B$6,2)*(1+Parametri!$B$7),2)</f>
        <v/>
      </c>
      <c r="E17" s="4">
        <f>ROUND(ROUND((((Coefficienti!$B$1+Coefficienti!$B$2*E$2+Coefficienti!$B$3*$A17)*Parametri!$B$1+(Coefficienti!$B$4+Coefficienti!$B$5*E$2+Coefficienti!$B$6*$A17)*Parametri!$B$2)*(1-Parametri!$B$3)+((Coefficienti!$B$7+Coefficienti!$B$8*E$2+Coefficienti!$B$9*$A17)+Coefficienti!$B$10)*(1-Parametri!$B$4))*(1+Parametri!$B$5)+FerrGriglia!E16+Coefficienti!$B$11*Parametri!$B$6,2)*(1+Parametri!$B$7),2)</f>
        <v/>
      </c>
      <c r="F17" s="4">
        <f>ROUND(ROUND((((Coefficienti!$B$1+Coefficienti!$B$2*F$2+Coefficienti!$B$3*$A17)*Parametri!$B$1+(Coefficienti!$B$4+Coefficienti!$B$5*F$2+Coefficienti!$B$6*$A17)*Parametri!$B$2)*(1-Parametri!$B$3)+((Coefficienti!$B$7+Coefficienti!$B$8*F$2+Coefficienti!$B$9*$A17)+Coefficienti!$B$10)*(1-Parametri!$B$4))*(1+Parametri!$B$5)+FerrGriglia!F16+Coefficienti!$B$11*Parametri!$B$6,2)*(1+Parametri!$B$7),2)</f>
        <v/>
      </c>
      <c r="G17" s="4">
        <f>ROUND(ROUND((((Coefficienti!$B$1+Coefficienti!$B$2*G$2+Coefficienti!$B$3*$A17)*Parametri!$B$1+(Coefficienti!$B$4+Coefficienti!$B$5*G$2+Coefficienti!$B$6*$A17)*Parametri!$B$2)*(1-Parametri!$B$3)+((Coefficienti!$B$7+Coefficienti!$B$8*G$2+Coefficienti!$B$9*$A17)+Coefficienti!$B$10)*(1-Parametri!$B$4))*(1+Parametri!$B$5)+FerrGriglia!G16+Coefficienti!$B$11*Parametri!$B$6,2)*(1+Parametri!$B$7),2)</f>
        <v/>
      </c>
      <c r="H17" s="4">
        <f>ROUND(ROUND((((Coefficienti!$B$1+Coefficienti!$B$2*H$2+Coefficienti!$B$3*$A17)*Parametri!$B$1+(Coefficienti!$B$4+Coefficienti!$B$5*H$2+Coefficienti!$B$6*$A17)*Parametri!$B$2)*(1-Parametri!$B$3)+((Coefficienti!$B$7+Coefficienti!$B$8*H$2+Coefficienti!$B$9*$A17)+Coefficienti!$B$10)*(1-Parametri!$B$4))*(1+Parametri!$B$5)+FerrGriglia!H16+Coefficienti!$B$11*Parametri!$B$6,2)*(1+Parametri!$B$7),2)</f>
        <v/>
      </c>
      <c r="I17" s="4">
        <f>ROUND(ROUND((((Coefficienti!$B$1+Coefficienti!$B$2*I$2+Coefficienti!$B$3*$A17)*Parametri!$B$1+(Coefficienti!$B$4+Coefficienti!$B$5*I$2+Coefficienti!$B$6*$A17)*Parametri!$B$2)*(1-Parametri!$B$3)+((Coefficienti!$B$7+Coefficienti!$B$8*I$2+Coefficienti!$B$9*$A17)+Coefficienti!$B$10)*(1-Parametri!$B$4))*(1+Parametri!$B$5)+FerrGriglia!I16+Coefficienti!$B$11*Parametri!$B$6,2)*(1+Parametri!$B$7),2)</f>
        <v/>
      </c>
    </row>
    <row r="18">
      <c r="A18" s="2" t="n">
        <v>2000</v>
      </c>
      <c r="B18" s="4">
        <f>ROUND(ROUND((((Coefficienti!$B$1+Coefficienti!$B$2*B$2+Coefficienti!$B$3*$A18)*Parametri!$B$1+(Coefficienti!$B$4+Coefficienti!$B$5*B$2+Coefficienti!$B$6*$A18)*Parametri!$B$2)*(1-Parametri!$B$3)+((Coefficienti!$B$7+Coefficienti!$B$8*B$2+Coefficienti!$B$9*$A18)+Coefficienti!$B$10)*(1-Parametri!$B$4))*(1+Parametri!$B$5)+FerrGriglia!B17+Coefficienti!$B$11*Parametri!$B$6,2)*(1+Parametri!$B$7),2)</f>
        <v/>
      </c>
      <c r="C18" s="4">
        <f>ROUND(ROUND((((Coefficienti!$B$1+Coefficienti!$B$2*C$2+Coefficienti!$B$3*$A18)*Parametri!$B$1+(Coefficienti!$B$4+Coefficienti!$B$5*C$2+Coefficienti!$B$6*$A18)*Parametri!$B$2)*(1-Parametri!$B$3)+((Coefficienti!$B$7+Coefficienti!$B$8*C$2+Coefficienti!$B$9*$A18)+Coefficienti!$B$10)*(1-Parametri!$B$4))*(1+Parametri!$B$5)+FerrGriglia!C17+Coefficienti!$B$11*Parametri!$B$6,2)*(1+Parametri!$B$7),2)</f>
        <v/>
      </c>
      <c r="D18" s="4">
        <f>ROUND(ROUND((((Coefficienti!$B$1+Coefficienti!$B$2*D$2+Coefficienti!$B$3*$A18)*Parametri!$B$1+(Coefficienti!$B$4+Coefficienti!$B$5*D$2+Coefficienti!$B$6*$A18)*Parametri!$B$2)*(1-Parametri!$B$3)+((Coefficienti!$B$7+Coefficienti!$B$8*D$2+Coefficienti!$B$9*$A18)+Coefficienti!$B$10)*(1-Parametri!$B$4))*(1+Parametri!$B$5)+FerrGriglia!D17+Coefficienti!$B$11*Parametri!$B$6,2)*(1+Parametri!$B$7),2)</f>
        <v/>
      </c>
      <c r="E18" s="4">
        <f>ROUND(ROUND((((Coefficienti!$B$1+Coefficienti!$B$2*E$2+Coefficienti!$B$3*$A18)*Parametri!$B$1+(Coefficienti!$B$4+Coefficienti!$B$5*E$2+Coefficienti!$B$6*$A18)*Parametri!$B$2)*(1-Parametri!$B$3)+((Coefficienti!$B$7+Coefficienti!$B$8*E$2+Coefficienti!$B$9*$A18)+Coefficienti!$B$10)*(1-Parametri!$B$4))*(1+Parametri!$B$5)+FerrGriglia!E17+Coefficienti!$B$11*Parametri!$B$6,2)*(1+Parametri!$B$7),2)</f>
        <v/>
      </c>
      <c r="F18" s="4">
        <f>ROUND(ROUND((((Coefficienti!$B$1+Coefficienti!$B$2*F$2+Coefficienti!$B$3*$A18)*Parametri!$B$1+(Coefficienti!$B$4+Coefficienti!$B$5*F$2+Coefficienti!$B$6*$A18)*Parametri!$B$2)*(1-Parametri!$B$3)+((Coefficienti!$B$7+Coefficienti!$B$8*F$2+Coefficienti!$B$9*$A18)+Coefficienti!$B$10)*(1-Parametri!$B$4))*(1+Parametri!$B$5)+FerrGriglia!F17+Coefficienti!$B$11*Parametri!$B$6,2)*(1+Parametri!$B$7),2)</f>
        <v/>
      </c>
      <c r="G18" s="4">
        <f>ROUND(ROUND((((Coefficienti!$B$1+Coefficienti!$B$2*G$2+Coefficienti!$B$3*$A18)*Parametri!$B$1+(Coefficienti!$B$4+Coefficienti!$B$5*G$2+Coefficienti!$B$6*$A18)*Parametri!$B$2)*(1-Parametri!$B$3)+((Coefficienti!$B$7+Coefficienti!$B$8*G$2+Coefficienti!$B$9*$A18)+Coefficienti!$B$10)*(1-Parametri!$B$4))*(1+Parametri!$B$5)+FerrGriglia!G17+Coefficienti!$B$11*Parametri!$B$6,2)*(1+Parametri!$B$7),2)</f>
        <v/>
      </c>
      <c r="H18" s="4">
        <f>ROUND(ROUND((((Coefficienti!$B$1+Coefficienti!$B$2*H$2+Coefficienti!$B$3*$A18)*Parametri!$B$1+(Coefficienti!$B$4+Coefficienti!$B$5*H$2+Coefficienti!$B$6*$A18)*Parametri!$B$2)*(1-Parametri!$B$3)+((Coefficienti!$B$7+Coefficienti!$B$8*H$2+Coefficienti!$B$9*$A18)+Coefficienti!$B$10)*(1-Parametri!$B$4))*(1+Parametri!$B$5)+FerrGriglia!H17+Coefficienti!$B$11*Parametri!$B$6,2)*(1+Parametri!$B$7),2)</f>
        <v/>
      </c>
      <c r="I18" s="4">
        <f>ROUND(ROUND((((Coefficienti!$B$1+Coefficienti!$B$2*I$2+Coefficienti!$B$3*$A18)*Parametri!$B$1+(Coefficienti!$B$4+Coefficienti!$B$5*I$2+Coefficienti!$B$6*$A18)*Parametri!$B$2)*(1-Parametri!$B$3)+((Coefficienti!$B$7+Coefficienti!$B$8*I$2+Coefficienti!$B$9*$A18)+Coefficienti!$B$10)*(1-Parametri!$B$4))*(1+Parametri!$B$5)+FerrGriglia!I17+Coefficienti!$B$11*Parametri!$B$6,2)*(1+Parametri!$B$7),2)</f>
        <v/>
      </c>
    </row>
    <row r="21">
      <c r="A21" s="1" t="inlineStr">
        <is>
          <t>COSTO SERRAMENTO (materiale scontato + sfrido + manodopera)</t>
        </is>
      </c>
    </row>
    <row r="22">
      <c r="A22" s="2" t="inlineStr">
        <is>
          <t>H/L</t>
        </is>
      </c>
      <c r="B22" s="3" t="n">
        <v>500</v>
      </c>
      <c r="C22" s="3" t="n">
        <v>600</v>
      </c>
      <c r="D22" s="3" t="n">
        <v>700</v>
      </c>
      <c r="E22" s="3" t="n">
        <v>800</v>
      </c>
      <c r="F22" s="3" t="n">
        <v>900</v>
      </c>
      <c r="G22" s="3" t="n">
        <v>1000</v>
      </c>
      <c r="H22" s="3" t="n">
        <v>1100</v>
      </c>
      <c r="I22" s="3" t="n">
        <v>1200</v>
      </c>
    </row>
    <row r="23">
      <c r="A23" s="2" t="n">
        <v>500</v>
      </c>
      <c r="B23" s="4">
        <f>ROUND((((Coefficienti!$B$1+Coefficienti!$B$2*B$22+Coefficienti!$B$3*$A23)*Parametri!$B$1+(Coefficienti!$B$4+Coefficienti!$B$5*B$22+Coefficienti!$B$6*$A23)*Parametri!$B$2)*(1-Parametri!$B$3)+((Coefficienti!$B$7+Coefficienti!$B$8*B$22+Coefficienti!$B$9*$A23)+Coefficienti!$B$10)*(1-Parametri!$B$4))*(1+Parametri!$B$5)+FerrGriglia!B2+Coefficienti!$B$11*Parametri!$B$6,2)</f>
        <v/>
      </c>
      <c r="C23" s="4">
        <f>ROUND((((Coefficienti!$B$1+Coefficienti!$B$2*C$22+Coefficienti!$B$3*$A23)*Parametri!$B$1+(Coefficienti!$B$4+Coefficienti!$B$5*C$22+Coefficienti!$B$6*$A23)*Parametri!$B$2)*(1-Parametri!$B$3)+((Coefficienti!$B$7+Coefficienti!$B$8*C$22+Coefficienti!$B$9*$A23)+Coefficienti!$B$10)*(1-Parametri!$B$4))*(1+Parametri!$B$5)+FerrGriglia!C2+Coefficienti!$B$11*Parametri!$B$6,2)</f>
        <v/>
      </c>
      <c r="D23" s="4">
        <f>ROUND((((Coefficienti!$B$1+Coefficienti!$B$2*D$22+Coefficienti!$B$3*$A23)*Parametri!$B$1+(Coefficienti!$B$4+Coefficienti!$B$5*D$22+Coefficienti!$B$6*$A23)*Parametri!$B$2)*(1-Parametri!$B$3)+((Coefficienti!$B$7+Coefficienti!$B$8*D$22+Coefficienti!$B$9*$A23)+Coefficienti!$B$10)*(1-Parametri!$B$4))*(1+Parametri!$B$5)+FerrGriglia!D2+Coefficienti!$B$11*Parametri!$B$6,2)</f>
        <v/>
      </c>
      <c r="E23" s="4">
        <f>ROUND((((Coefficienti!$B$1+Coefficienti!$B$2*E$22+Coefficienti!$B$3*$A23)*Parametri!$B$1+(Coefficienti!$B$4+Coefficienti!$B$5*E$22+Coefficienti!$B$6*$A23)*Parametri!$B$2)*(1-Parametri!$B$3)+((Coefficienti!$B$7+Coefficienti!$B$8*E$22+Coefficienti!$B$9*$A23)+Coefficienti!$B$10)*(1-Parametri!$B$4))*(1+Parametri!$B$5)+FerrGriglia!E2+Coefficienti!$B$11*Parametri!$B$6,2)</f>
        <v/>
      </c>
      <c r="F23" s="4">
        <f>ROUND((((Coefficienti!$B$1+Coefficienti!$B$2*F$22+Coefficienti!$B$3*$A23)*Parametri!$B$1+(Coefficienti!$B$4+Coefficienti!$B$5*F$22+Coefficienti!$B$6*$A23)*Parametri!$B$2)*(1-Parametri!$B$3)+((Coefficienti!$B$7+Coefficienti!$B$8*F$22+Coefficienti!$B$9*$A23)+Coefficienti!$B$10)*(1-Parametri!$B$4))*(1+Parametri!$B$5)+FerrGriglia!F2+Coefficienti!$B$11*Parametri!$B$6,2)</f>
        <v/>
      </c>
      <c r="G23" s="4">
        <f>ROUND((((Coefficienti!$B$1+Coefficienti!$B$2*G$22+Coefficienti!$B$3*$A23)*Parametri!$B$1+(Coefficienti!$B$4+Coefficienti!$B$5*G$22+Coefficienti!$B$6*$A23)*Parametri!$B$2)*(1-Parametri!$B$3)+((Coefficienti!$B$7+Coefficienti!$B$8*G$22+Coefficienti!$B$9*$A23)+Coefficienti!$B$10)*(1-Parametri!$B$4))*(1+Parametri!$B$5)+FerrGriglia!G2+Coefficienti!$B$11*Parametri!$B$6,2)</f>
        <v/>
      </c>
      <c r="H23" s="4">
        <f>ROUND((((Coefficienti!$B$1+Coefficienti!$B$2*H$22+Coefficienti!$B$3*$A23)*Parametri!$B$1+(Coefficienti!$B$4+Coefficienti!$B$5*H$22+Coefficienti!$B$6*$A23)*Parametri!$B$2)*(1-Parametri!$B$3)+((Coefficienti!$B$7+Coefficienti!$B$8*H$22+Coefficienti!$B$9*$A23)+Coefficienti!$B$10)*(1-Parametri!$B$4))*(1+Parametri!$B$5)+FerrGriglia!H2+Coefficienti!$B$11*Parametri!$B$6,2)</f>
        <v/>
      </c>
      <c r="I23" s="4">
        <f>ROUND((((Coefficienti!$B$1+Coefficienti!$B$2*I$22+Coefficienti!$B$3*$A23)*Parametri!$B$1+(Coefficienti!$B$4+Coefficienti!$B$5*I$22+Coefficienti!$B$6*$A23)*Parametri!$B$2)*(1-Parametri!$B$3)+((Coefficienti!$B$7+Coefficienti!$B$8*I$22+Coefficienti!$B$9*$A23)+Coefficienti!$B$10)*(1-Parametri!$B$4))*(1+Parametri!$B$5)+FerrGriglia!I2+Coefficienti!$B$11*Parametri!$B$6,2)</f>
        <v/>
      </c>
    </row>
    <row r="24">
      <c r="A24" s="2" t="n">
        <v>600</v>
      </c>
      <c r="B24" s="4">
        <f>ROUND((((Coefficienti!$B$1+Coefficienti!$B$2*B$22+Coefficienti!$B$3*$A24)*Parametri!$B$1+(Coefficienti!$B$4+Coefficienti!$B$5*B$22+Coefficienti!$B$6*$A24)*Parametri!$B$2)*(1-Parametri!$B$3)+((Coefficienti!$B$7+Coefficienti!$B$8*B$22+Coefficienti!$B$9*$A24)+Coefficienti!$B$10)*(1-Parametri!$B$4))*(1+Parametri!$B$5)+FerrGriglia!B3+Coefficienti!$B$11*Parametri!$B$6,2)</f>
        <v/>
      </c>
      <c r="C24" s="4">
        <f>ROUND((((Coefficienti!$B$1+Coefficienti!$B$2*C$22+Coefficienti!$B$3*$A24)*Parametri!$B$1+(Coefficienti!$B$4+Coefficienti!$B$5*C$22+Coefficienti!$B$6*$A24)*Parametri!$B$2)*(1-Parametri!$B$3)+((Coefficienti!$B$7+Coefficienti!$B$8*C$22+Coefficienti!$B$9*$A24)+Coefficienti!$B$10)*(1-Parametri!$B$4))*(1+Parametri!$B$5)+FerrGriglia!C3+Coefficienti!$B$11*Parametri!$B$6,2)</f>
        <v/>
      </c>
      <c r="D24" s="4">
        <f>ROUND((((Coefficienti!$B$1+Coefficienti!$B$2*D$22+Coefficienti!$B$3*$A24)*Parametri!$B$1+(Coefficienti!$B$4+Coefficienti!$B$5*D$22+Coefficienti!$B$6*$A24)*Parametri!$B$2)*(1-Parametri!$B$3)+((Coefficienti!$B$7+Coefficienti!$B$8*D$22+Coefficienti!$B$9*$A24)+Coefficienti!$B$10)*(1-Parametri!$B$4))*(1+Parametri!$B$5)+FerrGriglia!D3+Coefficienti!$B$11*Parametri!$B$6,2)</f>
        <v/>
      </c>
      <c r="E24" s="4">
        <f>ROUND((((Coefficienti!$B$1+Coefficienti!$B$2*E$22+Coefficienti!$B$3*$A24)*Parametri!$B$1+(Coefficienti!$B$4+Coefficienti!$B$5*E$22+Coefficienti!$B$6*$A24)*Parametri!$B$2)*(1-Parametri!$B$3)+((Coefficienti!$B$7+Coefficienti!$B$8*E$22+Coefficienti!$B$9*$A24)+Coefficienti!$B$10)*(1-Parametri!$B$4))*(1+Parametri!$B$5)+FerrGriglia!E3+Coefficienti!$B$11*Parametri!$B$6,2)</f>
        <v/>
      </c>
      <c r="F24" s="4">
        <f>ROUND((((Coefficienti!$B$1+Coefficienti!$B$2*F$22+Coefficienti!$B$3*$A24)*Parametri!$B$1+(Coefficienti!$B$4+Coefficienti!$B$5*F$22+Coefficienti!$B$6*$A24)*Parametri!$B$2)*(1-Parametri!$B$3)+((Coefficienti!$B$7+Coefficienti!$B$8*F$22+Coefficienti!$B$9*$A24)+Coefficienti!$B$10)*(1-Parametri!$B$4))*(1+Parametri!$B$5)+FerrGriglia!F3+Coefficienti!$B$11*Parametri!$B$6,2)</f>
        <v/>
      </c>
      <c r="G24" s="4">
        <f>ROUND((((Coefficienti!$B$1+Coefficienti!$B$2*G$22+Coefficienti!$B$3*$A24)*Parametri!$B$1+(Coefficienti!$B$4+Coefficienti!$B$5*G$22+Coefficienti!$B$6*$A24)*Parametri!$B$2)*(1-Parametri!$B$3)+((Coefficienti!$B$7+Coefficienti!$B$8*G$22+Coefficienti!$B$9*$A24)+Coefficienti!$B$10)*(1-Parametri!$B$4))*(1+Parametri!$B$5)+FerrGriglia!G3+Coefficienti!$B$11*Parametri!$B$6,2)</f>
        <v/>
      </c>
      <c r="H24" s="4">
        <f>ROUND((((Coefficienti!$B$1+Coefficienti!$B$2*H$22+Coefficienti!$B$3*$A24)*Parametri!$B$1+(Coefficienti!$B$4+Coefficienti!$B$5*H$22+Coefficienti!$B$6*$A24)*Parametri!$B$2)*(1-Parametri!$B$3)+((Coefficienti!$B$7+Coefficienti!$B$8*H$22+Coefficienti!$B$9*$A24)+Coefficienti!$B$10)*(1-Parametri!$B$4))*(1+Parametri!$B$5)+FerrGriglia!H3+Coefficienti!$B$11*Parametri!$B$6,2)</f>
        <v/>
      </c>
      <c r="I24" s="4">
        <f>ROUND((((Coefficienti!$B$1+Coefficienti!$B$2*I$22+Coefficienti!$B$3*$A24)*Parametri!$B$1+(Coefficienti!$B$4+Coefficienti!$B$5*I$22+Coefficienti!$B$6*$A24)*Parametri!$B$2)*(1-Parametri!$B$3)+((Coefficienti!$B$7+Coefficienti!$B$8*I$22+Coefficienti!$B$9*$A24)+Coefficienti!$B$10)*(1-Parametri!$B$4))*(1+Parametri!$B$5)+FerrGriglia!I3+Coefficienti!$B$11*Parametri!$B$6,2)</f>
        <v/>
      </c>
    </row>
    <row r="25">
      <c r="A25" s="2" t="n">
        <v>700</v>
      </c>
      <c r="B25" s="4">
        <f>ROUND((((Coefficienti!$B$1+Coefficienti!$B$2*B$22+Coefficienti!$B$3*$A25)*Parametri!$B$1+(Coefficienti!$B$4+Coefficienti!$B$5*B$22+Coefficienti!$B$6*$A25)*Parametri!$B$2)*(1-Parametri!$B$3)+((Coefficienti!$B$7+Coefficienti!$B$8*B$22+Coefficienti!$B$9*$A25)+Coefficienti!$B$10)*(1-Parametri!$B$4))*(1+Parametri!$B$5)+FerrGriglia!B4+Coefficienti!$B$11*Parametri!$B$6,2)</f>
        <v/>
      </c>
      <c r="C25" s="4">
        <f>ROUND((((Coefficienti!$B$1+Coefficienti!$B$2*C$22+Coefficienti!$B$3*$A25)*Parametri!$B$1+(Coefficienti!$B$4+Coefficienti!$B$5*C$22+Coefficienti!$B$6*$A25)*Parametri!$B$2)*(1-Parametri!$B$3)+((Coefficienti!$B$7+Coefficienti!$B$8*C$22+Coefficienti!$B$9*$A25)+Coefficienti!$B$10)*(1-Parametri!$B$4))*(1+Parametri!$B$5)+FerrGriglia!C4+Coefficienti!$B$11*Parametri!$B$6,2)</f>
        <v/>
      </c>
      <c r="D25" s="4">
        <f>ROUND((((Coefficienti!$B$1+Coefficienti!$B$2*D$22+Coefficienti!$B$3*$A25)*Parametri!$B$1+(Coefficienti!$B$4+Coefficienti!$B$5*D$22+Coefficienti!$B$6*$A25)*Parametri!$B$2)*(1-Parametri!$B$3)+((Coefficienti!$B$7+Coefficienti!$B$8*D$22+Coefficienti!$B$9*$A25)+Coefficienti!$B$10)*(1-Parametri!$B$4))*(1+Parametri!$B$5)+FerrGriglia!D4+Coefficienti!$B$11*Parametri!$B$6,2)</f>
        <v/>
      </c>
      <c r="E25" s="4">
        <f>ROUND((((Coefficienti!$B$1+Coefficienti!$B$2*E$22+Coefficienti!$B$3*$A25)*Parametri!$B$1+(Coefficienti!$B$4+Coefficienti!$B$5*E$22+Coefficienti!$B$6*$A25)*Parametri!$B$2)*(1-Parametri!$B$3)+((Coefficienti!$B$7+Coefficienti!$B$8*E$22+Coefficienti!$B$9*$A25)+Coefficienti!$B$10)*(1-Parametri!$B$4))*(1+Parametri!$B$5)+FerrGriglia!E4+Coefficienti!$B$11*Parametri!$B$6,2)</f>
        <v/>
      </c>
      <c r="F25" s="4">
        <f>ROUND((((Coefficienti!$B$1+Coefficienti!$B$2*F$22+Coefficienti!$B$3*$A25)*Parametri!$B$1+(Coefficienti!$B$4+Coefficienti!$B$5*F$22+Coefficienti!$B$6*$A25)*Parametri!$B$2)*(1-Parametri!$B$3)+((Coefficienti!$B$7+Coefficienti!$B$8*F$22+Coefficienti!$B$9*$A25)+Coefficienti!$B$10)*(1-Parametri!$B$4))*(1+Parametri!$B$5)+FerrGriglia!F4+Coefficienti!$B$11*Parametri!$B$6,2)</f>
        <v/>
      </c>
      <c r="G25" s="4">
        <f>ROUND((((Coefficienti!$B$1+Coefficienti!$B$2*G$22+Coefficienti!$B$3*$A25)*Parametri!$B$1+(Coefficienti!$B$4+Coefficienti!$B$5*G$22+Coefficienti!$B$6*$A25)*Parametri!$B$2)*(1-Parametri!$B$3)+((Coefficienti!$B$7+Coefficienti!$B$8*G$22+Coefficienti!$B$9*$A25)+Coefficienti!$B$10)*(1-Parametri!$B$4))*(1+Parametri!$B$5)+FerrGriglia!G4+Coefficienti!$B$11*Parametri!$B$6,2)</f>
        <v/>
      </c>
      <c r="H25" s="4">
        <f>ROUND((((Coefficienti!$B$1+Coefficienti!$B$2*H$22+Coefficienti!$B$3*$A25)*Parametri!$B$1+(Coefficienti!$B$4+Coefficienti!$B$5*H$22+Coefficienti!$B$6*$A25)*Parametri!$B$2)*(1-Parametri!$B$3)+((Coefficienti!$B$7+Coefficienti!$B$8*H$22+Coefficienti!$B$9*$A25)+Coefficienti!$B$10)*(1-Parametri!$B$4))*(1+Parametri!$B$5)+FerrGriglia!H4+Coefficienti!$B$11*Parametri!$B$6,2)</f>
        <v/>
      </c>
      <c r="I25" s="4">
        <f>ROUND((((Coefficienti!$B$1+Coefficienti!$B$2*I$22+Coefficienti!$B$3*$A25)*Parametri!$B$1+(Coefficienti!$B$4+Coefficienti!$B$5*I$22+Coefficienti!$B$6*$A25)*Parametri!$B$2)*(1-Parametri!$B$3)+((Coefficienti!$B$7+Coefficienti!$B$8*I$22+Coefficienti!$B$9*$A25)+Coefficienti!$B$10)*(1-Parametri!$B$4))*(1+Parametri!$B$5)+FerrGriglia!I4+Coefficienti!$B$11*Parametri!$B$6,2)</f>
        <v/>
      </c>
    </row>
    <row r="26">
      <c r="A26" s="2" t="n">
        <v>800</v>
      </c>
      <c r="B26" s="4">
        <f>ROUND((((Coefficienti!$B$1+Coefficienti!$B$2*B$22+Coefficienti!$B$3*$A26)*Parametri!$B$1+(Coefficienti!$B$4+Coefficienti!$B$5*B$22+Coefficienti!$B$6*$A26)*Parametri!$B$2)*(1-Parametri!$B$3)+((Coefficienti!$B$7+Coefficienti!$B$8*B$22+Coefficienti!$B$9*$A26)+Coefficienti!$B$10)*(1-Parametri!$B$4))*(1+Parametri!$B$5)+FerrGriglia!B5+Coefficienti!$B$11*Parametri!$B$6,2)</f>
        <v/>
      </c>
      <c r="C26" s="4">
        <f>ROUND((((Coefficienti!$B$1+Coefficienti!$B$2*C$22+Coefficienti!$B$3*$A26)*Parametri!$B$1+(Coefficienti!$B$4+Coefficienti!$B$5*C$22+Coefficienti!$B$6*$A26)*Parametri!$B$2)*(1-Parametri!$B$3)+((Coefficienti!$B$7+Coefficienti!$B$8*C$22+Coefficienti!$B$9*$A26)+Coefficienti!$B$10)*(1-Parametri!$B$4))*(1+Parametri!$B$5)+FerrGriglia!C5+Coefficienti!$B$11*Parametri!$B$6,2)</f>
        <v/>
      </c>
      <c r="D26" s="4">
        <f>ROUND((((Coefficienti!$B$1+Coefficienti!$B$2*D$22+Coefficienti!$B$3*$A26)*Parametri!$B$1+(Coefficienti!$B$4+Coefficienti!$B$5*D$22+Coefficienti!$B$6*$A26)*Parametri!$B$2)*(1-Parametri!$B$3)+((Coefficienti!$B$7+Coefficienti!$B$8*D$22+Coefficienti!$B$9*$A26)+Coefficienti!$B$10)*(1-Parametri!$B$4))*(1+Parametri!$B$5)+FerrGriglia!D5+Coefficienti!$B$11*Parametri!$B$6,2)</f>
        <v/>
      </c>
      <c r="E26" s="4">
        <f>ROUND((((Coefficienti!$B$1+Coefficienti!$B$2*E$22+Coefficienti!$B$3*$A26)*Parametri!$B$1+(Coefficienti!$B$4+Coefficienti!$B$5*E$22+Coefficienti!$B$6*$A26)*Parametri!$B$2)*(1-Parametri!$B$3)+((Coefficienti!$B$7+Coefficienti!$B$8*E$22+Coefficienti!$B$9*$A26)+Coefficienti!$B$10)*(1-Parametri!$B$4))*(1+Parametri!$B$5)+FerrGriglia!E5+Coefficienti!$B$11*Parametri!$B$6,2)</f>
        <v/>
      </c>
      <c r="F26" s="4">
        <f>ROUND((((Coefficienti!$B$1+Coefficienti!$B$2*F$22+Coefficienti!$B$3*$A26)*Parametri!$B$1+(Coefficienti!$B$4+Coefficienti!$B$5*F$22+Coefficienti!$B$6*$A26)*Parametri!$B$2)*(1-Parametri!$B$3)+((Coefficienti!$B$7+Coefficienti!$B$8*F$22+Coefficienti!$B$9*$A26)+Coefficienti!$B$10)*(1-Parametri!$B$4))*(1+Parametri!$B$5)+FerrGriglia!F5+Coefficienti!$B$11*Parametri!$B$6,2)</f>
        <v/>
      </c>
      <c r="G26" s="4">
        <f>ROUND((((Coefficienti!$B$1+Coefficienti!$B$2*G$22+Coefficienti!$B$3*$A26)*Parametri!$B$1+(Coefficienti!$B$4+Coefficienti!$B$5*G$22+Coefficienti!$B$6*$A26)*Parametri!$B$2)*(1-Parametri!$B$3)+((Coefficienti!$B$7+Coefficienti!$B$8*G$22+Coefficienti!$B$9*$A26)+Coefficienti!$B$10)*(1-Parametri!$B$4))*(1+Parametri!$B$5)+FerrGriglia!G5+Coefficienti!$B$11*Parametri!$B$6,2)</f>
        <v/>
      </c>
      <c r="H26" s="4">
        <f>ROUND((((Coefficienti!$B$1+Coefficienti!$B$2*H$22+Coefficienti!$B$3*$A26)*Parametri!$B$1+(Coefficienti!$B$4+Coefficienti!$B$5*H$22+Coefficienti!$B$6*$A26)*Parametri!$B$2)*(1-Parametri!$B$3)+((Coefficienti!$B$7+Coefficienti!$B$8*H$22+Coefficienti!$B$9*$A26)+Coefficienti!$B$10)*(1-Parametri!$B$4))*(1+Parametri!$B$5)+FerrGriglia!H5+Coefficienti!$B$11*Parametri!$B$6,2)</f>
        <v/>
      </c>
      <c r="I26" s="4">
        <f>ROUND((((Coefficienti!$B$1+Coefficienti!$B$2*I$22+Coefficienti!$B$3*$A26)*Parametri!$B$1+(Coefficienti!$B$4+Coefficienti!$B$5*I$22+Coefficienti!$B$6*$A26)*Parametri!$B$2)*(1-Parametri!$B$3)+((Coefficienti!$B$7+Coefficienti!$B$8*I$22+Coefficienti!$B$9*$A26)+Coefficienti!$B$10)*(1-Parametri!$B$4))*(1+Parametri!$B$5)+FerrGriglia!I5+Coefficienti!$B$11*Parametri!$B$6,2)</f>
        <v/>
      </c>
    </row>
    <row r="27">
      <c r="A27" s="2" t="n">
        <v>900</v>
      </c>
      <c r="B27" s="4">
        <f>ROUND((((Coefficienti!$B$1+Coefficienti!$B$2*B$22+Coefficienti!$B$3*$A27)*Parametri!$B$1+(Coefficienti!$B$4+Coefficienti!$B$5*B$22+Coefficienti!$B$6*$A27)*Parametri!$B$2)*(1-Parametri!$B$3)+((Coefficienti!$B$7+Coefficienti!$B$8*B$22+Coefficienti!$B$9*$A27)+Coefficienti!$B$10)*(1-Parametri!$B$4))*(1+Parametri!$B$5)+FerrGriglia!B6+Coefficienti!$B$11*Parametri!$B$6,2)</f>
        <v/>
      </c>
      <c r="C27" s="4">
        <f>ROUND((((Coefficienti!$B$1+Coefficienti!$B$2*C$22+Coefficienti!$B$3*$A27)*Parametri!$B$1+(Coefficienti!$B$4+Coefficienti!$B$5*C$22+Coefficienti!$B$6*$A27)*Parametri!$B$2)*(1-Parametri!$B$3)+((Coefficienti!$B$7+Coefficienti!$B$8*C$22+Coefficienti!$B$9*$A27)+Coefficienti!$B$10)*(1-Parametri!$B$4))*(1+Parametri!$B$5)+FerrGriglia!C6+Coefficienti!$B$11*Parametri!$B$6,2)</f>
        <v/>
      </c>
      <c r="D27" s="4">
        <f>ROUND((((Coefficienti!$B$1+Coefficienti!$B$2*D$22+Coefficienti!$B$3*$A27)*Parametri!$B$1+(Coefficienti!$B$4+Coefficienti!$B$5*D$22+Coefficienti!$B$6*$A27)*Parametri!$B$2)*(1-Parametri!$B$3)+((Coefficienti!$B$7+Coefficienti!$B$8*D$22+Coefficienti!$B$9*$A27)+Coefficienti!$B$10)*(1-Parametri!$B$4))*(1+Parametri!$B$5)+FerrGriglia!D6+Coefficienti!$B$11*Parametri!$B$6,2)</f>
        <v/>
      </c>
      <c r="E27" s="4">
        <f>ROUND((((Coefficienti!$B$1+Coefficienti!$B$2*E$22+Coefficienti!$B$3*$A27)*Parametri!$B$1+(Coefficienti!$B$4+Coefficienti!$B$5*E$22+Coefficienti!$B$6*$A27)*Parametri!$B$2)*(1-Parametri!$B$3)+((Coefficienti!$B$7+Coefficienti!$B$8*E$22+Coefficienti!$B$9*$A27)+Coefficienti!$B$10)*(1-Parametri!$B$4))*(1+Parametri!$B$5)+FerrGriglia!E6+Coefficienti!$B$11*Parametri!$B$6,2)</f>
        <v/>
      </c>
      <c r="F27" s="4">
        <f>ROUND((((Coefficienti!$B$1+Coefficienti!$B$2*F$22+Coefficienti!$B$3*$A27)*Parametri!$B$1+(Coefficienti!$B$4+Coefficienti!$B$5*F$22+Coefficienti!$B$6*$A27)*Parametri!$B$2)*(1-Parametri!$B$3)+((Coefficienti!$B$7+Coefficienti!$B$8*F$22+Coefficienti!$B$9*$A27)+Coefficienti!$B$10)*(1-Parametri!$B$4))*(1+Parametri!$B$5)+FerrGriglia!F6+Coefficienti!$B$11*Parametri!$B$6,2)</f>
        <v/>
      </c>
      <c r="G27" s="4">
        <f>ROUND((((Coefficienti!$B$1+Coefficienti!$B$2*G$22+Coefficienti!$B$3*$A27)*Parametri!$B$1+(Coefficienti!$B$4+Coefficienti!$B$5*G$22+Coefficienti!$B$6*$A27)*Parametri!$B$2)*(1-Parametri!$B$3)+((Coefficienti!$B$7+Coefficienti!$B$8*G$22+Coefficienti!$B$9*$A27)+Coefficienti!$B$10)*(1-Parametri!$B$4))*(1+Parametri!$B$5)+FerrGriglia!G6+Coefficienti!$B$11*Parametri!$B$6,2)</f>
        <v/>
      </c>
      <c r="H27" s="4">
        <f>ROUND((((Coefficienti!$B$1+Coefficienti!$B$2*H$22+Coefficienti!$B$3*$A27)*Parametri!$B$1+(Coefficienti!$B$4+Coefficienti!$B$5*H$22+Coefficienti!$B$6*$A27)*Parametri!$B$2)*(1-Parametri!$B$3)+((Coefficienti!$B$7+Coefficienti!$B$8*H$22+Coefficienti!$B$9*$A27)+Coefficienti!$B$10)*(1-Parametri!$B$4))*(1+Parametri!$B$5)+FerrGriglia!H6+Coefficienti!$B$11*Parametri!$B$6,2)</f>
        <v/>
      </c>
      <c r="I27" s="4">
        <f>ROUND((((Coefficienti!$B$1+Coefficienti!$B$2*I$22+Coefficienti!$B$3*$A27)*Parametri!$B$1+(Coefficienti!$B$4+Coefficienti!$B$5*I$22+Coefficienti!$B$6*$A27)*Parametri!$B$2)*(1-Parametri!$B$3)+((Coefficienti!$B$7+Coefficienti!$B$8*I$22+Coefficienti!$B$9*$A27)+Coefficienti!$B$10)*(1-Parametri!$B$4))*(1+Parametri!$B$5)+FerrGriglia!I6+Coefficienti!$B$11*Parametri!$B$6,2)</f>
        <v/>
      </c>
    </row>
    <row r="28">
      <c r="A28" s="2" t="n">
        <v>1000</v>
      </c>
      <c r="B28" s="4">
        <f>ROUND((((Coefficienti!$B$1+Coefficienti!$B$2*B$22+Coefficienti!$B$3*$A28)*Parametri!$B$1+(Coefficienti!$B$4+Coefficienti!$B$5*B$22+Coefficienti!$B$6*$A28)*Parametri!$B$2)*(1-Parametri!$B$3)+((Coefficienti!$B$7+Coefficienti!$B$8*B$22+Coefficienti!$B$9*$A28)+Coefficienti!$B$10)*(1-Parametri!$B$4))*(1+Parametri!$B$5)+FerrGriglia!B7+Coefficienti!$B$11*Parametri!$B$6,2)</f>
        <v/>
      </c>
      <c r="C28" s="4">
        <f>ROUND((((Coefficienti!$B$1+Coefficienti!$B$2*C$22+Coefficienti!$B$3*$A28)*Parametri!$B$1+(Coefficienti!$B$4+Coefficienti!$B$5*C$22+Coefficienti!$B$6*$A28)*Parametri!$B$2)*(1-Parametri!$B$3)+((Coefficienti!$B$7+Coefficienti!$B$8*C$22+Coefficienti!$B$9*$A28)+Coefficienti!$B$10)*(1-Parametri!$B$4))*(1+Parametri!$B$5)+FerrGriglia!C7+Coefficienti!$B$11*Parametri!$B$6,2)</f>
        <v/>
      </c>
      <c r="D28" s="4">
        <f>ROUND((((Coefficienti!$B$1+Coefficienti!$B$2*D$22+Coefficienti!$B$3*$A28)*Parametri!$B$1+(Coefficienti!$B$4+Coefficienti!$B$5*D$22+Coefficienti!$B$6*$A28)*Parametri!$B$2)*(1-Parametri!$B$3)+((Coefficienti!$B$7+Coefficienti!$B$8*D$22+Coefficienti!$B$9*$A28)+Coefficienti!$B$10)*(1-Parametri!$B$4))*(1+Parametri!$B$5)+FerrGriglia!D7+Coefficienti!$B$11*Parametri!$B$6,2)</f>
        <v/>
      </c>
      <c r="E28" s="4">
        <f>ROUND((((Coefficienti!$B$1+Coefficienti!$B$2*E$22+Coefficienti!$B$3*$A28)*Parametri!$B$1+(Coefficienti!$B$4+Coefficienti!$B$5*E$22+Coefficienti!$B$6*$A28)*Parametri!$B$2)*(1-Parametri!$B$3)+((Coefficienti!$B$7+Coefficienti!$B$8*E$22+Coefficienti!$B$9*$A28)+Coefficienti!$B$10)*(1-Parametri!$B$4))*(1+Parametri!$B$5)+FerrGriglia!E7+Coefficienti!$B$11*Parametri!$B$6,2)</f>
        <v/>
      </c>
      <c r="F28" s="4">
        <f>ROUND((((Coefficienti!$B$1+Coefficienti!$B$2*F$22+Coefficienti!$B$3*$A28)*Parametri!$B$1+(Coefficienti!$B$4+Coefficienti!$B$5*F$22+Coefficienti!$B$6*$A28)*Parametri!$B$2)*(1-Parametri!$B$3)+((Coefficienti!$B$7+Coefficienti!$B$8*F$22+Coefficienti!$B$9*$A28)+Coefficienti!$B$10)*(1-Parametri!$B$4))*(1+Parametri!$B$5)+FerrGriglia!F7+Coefficienti!$B$11*Parametri!$B$6,2)</f>
        <v/>
      </c>
      <c r="G28" s="4">
        <f>ROUND((((Coefficienti!$B$1+Coefficienti!$B$2*G$22+Coefficienti!$B$3*$A28)*Parametri!$B$1+(Coefficienti!$B$4+Coefficienti!$B$5*G$22+Coefficienti!$B$6*$A28)*Parametri!$B$2)*(1-Parametri!$B$3)+((Coefficienti!$B$7+Coefficienti!$B$8*G$22+Coefficienti!$B$9*$A28)+Coefficienti!$B$10)*(1-Parametri!$B$4))*(1+Parametri!$B$5)+FerrGriglia!G7+Coefficienti!$B$11*Parametri!$B$6,2)</f>
        <v/>
      </c>
      <c r="H28" s="4">
        <f>ROUND((((Coefficienti!$B$1+Coefficienti!$B$2*H$22+Coefficienti!$B$3*$A28)*Parametri!$B$1+(Coefficienti!$B$4+Coefficienti!$B$5*H$22+Coefficienti!$B$6*$A28)*Parametri!$B$2)*(1-Parametri!$B$3)+((Coefficienti!$B$7+Coefficienti!$B$8*H$22+Coefficienti!$B$9*$A28)+Coefficienti!$B$10)*(1-Parametri!$B$4))*(1+Parametri!$B$5)+FerrGriglia!H7+Coefficienti!$B$11*Parametri!$B$6,2)</f>
        <v/>
      </c>
      <c r="I28" s="4">
        <f>ROUND((((Coefficienti!$B$1+Coefficienti!$B$2*I$22+Coefficienti!$B$3*$A28)*Parametri!$B$1+(Coefficienti!$B$4+Coefficienti!$B$5*I$22+Coefficienti!$B$6*$A28)*Parametri!$B$2)*(1-Parametri!$B$3)+((Coefficienti!$B$7+Coefficienti!$B$8*I$22+Coefficienti!$B$9*$A28)+Coefficienti!$B$10)*(1-Parametri!$B$4))*(1+Parametri!$B$5)+FerrGriglia!I7+Coefficienti!$B$11*Parametri!$B$6,2)</f>
        <v/>
      </c>
    </row>
    <row r="29">
      <c r="A29" s="2" t="n">
        <v>1100</v>
      </c>
      <c r="B29" s="4">
        <f>ROUND((((Coefficienti!$B$1+Coefficienti!$B$2*B$22+Coefficienti!$B$3*$A29)*Parametri!$B$1+(Coefficienti!$B$4+Coefficienti!$B$5*B$22+Coefficienti!$B$6*$A29)*Parametri!$B$2)*(1-Parametri!$B$3)+((Coefficienti!$B$7+Coefficienti!$B$8*B$22+Coefficienti!$B$9*$A29)+Coefficienti!$B$10)*(1-Parametri!$B$4))*(1+Parametri!$B$5)+FerrGriglia!B8+Coefficienti!$B$11*Parametri!$B$6,2)</f>
        <v/>
      </c>
      <c r="C29" s="4">
        <f>ROUND((((Coefficienti!$B$1+Coefficienti!$B$2*C$22+Coefficienti!$B$3*$A29)*Parametri!$B$1+(Coefficienti!$B$4+Coefficienti!$B$5*C$22+Coefficienti!$B$6*$A29)*Parametri!$B$2)*(1-Parametri!$B$3)+((Coefficienti!$B$7+Coefficienti!$B$8*C$22+Coefficienti!$B$9*$A29)+Coefficienti!$B$10)*(1-Parametri!$B$4))*(1+Parametri!$B$5)+FerrGriglia!C8+Coefficienti!$B$11*Parametri!$B$6,2)</f>
        <v/>
      </c>
      <c r="D29" s="4">
        <f>ROUND((((Coefficienti!$B$1+Coefficienti!$B$2*D$22+Coefficienti!$B$3*$A29)*Parametri!$B$1+(Coefficienti!$B$4+Coefficienti!$B$5*D$22+Coefficienti!$B$6*$A29)*Parametri!$B$2)*(1-Parametri!$B$3)+((Coefficienti!$B$7+Coefficienti!$B$8*D$22+Coefficienti!$B$9*$A29)+Coefficienti!$B$10)*(1-Parametri!$B$4))*(1+Parametri!$B$5)+FerrGriglia!D8+Coefficienti!$B$11*Parametri!$B$6,2)</f>
        <v/>
      </c>
      <c r="E29" s="4">
        <f>ROUND((((Coefficienti!$B$1+Coefficienti!$B$2*E$22+Coefficienti!$B$3*$A29)*Parametri!$B$1+(Coefficienti!$B$4+Coefficienti!$B$5*E$22+Coefficienti!$B$6*$A29)*Parametri!$B$2)*(1-Parametri!$B$3)+((Coefficienti!$B$7+Coefficienti!$B$8*E$22+Coefficienti!$B$9*$A29)+Coefficienti!$B$10)*(1-Parametri!$B$4))*(1+Parametri!$B$5)+FerrGriglia!E8+Coefficienti!$B$11*Parametri!$B$6,2)</f>
        <v/>
      </c>
      <c r="F29" s="4">
        <f>ROUND((((Coefficienti!$B$1+Coefficienti!$B$2*F$22+Coefficienti!$B$3*$A29)*Parametri!$B$1+(Coefficienti!$B$4+Coefficienti!$B$5*F$22+Coefficienti!$B$6*$A29)*Parametri!$B$2)*(1-Parametri!$B$3)+((Coefficienti!$B$7+Coefficienti!$B$8*F$22+Coefficienti!$B$9*$A29)+Coefficienti!$B$10)*(1-Parametri!$B$4))*(1+Parametri!$B$5)+FerrGriglia!F8+Coefficienti!$B$11*Parametri!$B$6,2)</f>
        <v/>
      </c>
      <c r="G29" s="4">
        <f>ROUND((((Coefficienti!$B$1+Coefficienti!$B$2*G$22+Coefficienti!$B$3*$A29)*Parametri!$B$1+(Coefficienti!$B$4+Coefficienti!$B$5*G$22+Coefficienti!$B$6*$A29)*Parametri!$B$2)*(1-Parametri!$B$3)+((Coefficienti!$B$7+Coefficienti!$B$8*G$22+Coefficienti!$B$9*$A29)+Coefficienti!$B$10)*(1-Parametri!$B$4))*(1+Parametri!$B$5)+FerrGriglia!G8+Coefficienti!$B$11*Parametri!$B$6,2)</f>
        <v/>
      </c>
      <c r="H29" s="4">
        <f>ROUND((((Coefficienti!$B$1+Coefficienti!$B$2*H$22+Coefficienti!$B$3*$A29)*Parametri!$B$1+(Coefficienti!$B$4+Coefficienti!$B$5*H$22+Coefficienti!$B$6*$A29)*Parametri!$B$2)*(1-Parametri!$B$3)+((Coefficienti!$B$7+Coefficienti!$B$8*H$22+Coefficienti!$B$9*$A29)+Coefficienti!$B$10)*(1-Parametri!$B$4))*(1+Parametri!$B$5)+FerrGriglia!H8+Coefficienti!$B$11*Parametri!$B$6,2)</f>
        <v/>
      </c>
      <c r="I29" s="4">
        <f>ROUND((((Coefficienti!$B$1+Coefficienti!$B$2*I$22+Coefficienti!$B$3*$A29)*Parametri!$B$1+(Coefficienti!$B$4+Coefficienti!$B$5*I$22+Coefficienti!$B$6*$A29)*Parametri!$B$2)*(1-Parametri!$B$3)+((Coefficienti!$B$7+Coefficienti!$B$8*I$22+Coefficienti!$B$9*$A29)+Coefficienti!$B$10)*(1-Parametri!$B$4))*(1+Parametri!$B$5)+FerrGriglia!I8+Coefficienti!$B$11*Parametri!$B$6,2)</f>
        <v/>
      </c>
    </row>
    <row r="30">
      <c r="A30" s="2" t="n">
        <v>1200</v>
      </c>
      <c r="B30" s="4">
        <f>ROUND((((Coefficienti!$B$1+Coefficienti!$B$2*B$22+Coefficienti!$B$3*$A30)*Parametri!$B$1+(Coefficienti!$B$4+Coefficienti!$B$5*B$22+Coefficienti!$B$6*$A30)*Parametri!$B$2)*(1-Parametri!$B$3)+((Coefficienti!$B$7+Coefficienti!$B$8*B$22+Coefficienti!$B$9*$A30)+Coefficienti!$B$10)*(1-Parametri!$B$4))*(1+Parametri!$B$5)+FerrGriglia!B9+Coefficienti!$B$11*Parametri!$B$6,2)</f>
        <v/>
      </c>
      <c r="C30" s="4">
        <f>ROUND((((Coefficienti!$B$1+Coefficienti!$B$2*C$22+Coefficienti!$B$3*$A30)*Parametri!$B$1+(Coefficienti!$B$4+Coefficienti!$B$5*C$22+Coefficienti!$B$6*$A30)*Parametri!$B$2)*(1-Parametri!$B$3)+((Coefficienti!$B$7+Coefficienti!$B$8*C$22+Coefficienti!$B$9*$A30)+Coefficienti!$B$10)*(1-Parametri!$B$4))*(1+Parametri!$B$5)+FerrGriglia!C9+Coefficienti!$B$11*Parametri!$B$6,2)</f>
        <v/>
      </c>
      <c r="D30" s="4">
        <f>ROUND((((Coefficienti!$B$1+Coefficienti!$B$2*D$22+Coefficienti!$B$3*$A30)*Parametri!$B$1+(Coefficienti!$B$4+Coefficienti!$B$5*D$22+Coefficienti!$B$6*$A30)*Parametri!$B$2)*(1-Parametri!$B$3)+((Coefficienti!$B$7+Coefficienti!$B$8*D$22+Coefficienti!$B$9*$A30)+Coefficienti!$B$10)*(1-Parametri!$B$4))*(1+Parametri!$B$5)+FerrGriglia!D9+Coefficienti!$B$11*Parametri!$B$6,2)</f>
        <v/>
      </c>
      <c r="E30" s="4">
        <f>ROUND((((Coefficienti!$B$1+Coefficienti!$B$2*E$22+Coefficienti!$B$3*$A30)*Parametri!$B$1+(Coefficienti!$B$4+Coefficienti!$B$5*E$22+Coefficienti!$B$6*$A30)*Parametri!$B$2)*(1-Parametri!$B$3)+((Coefficienti!$B$7+Coefficienti!$B$8*E$22+Coefficienti!$B$9*$A30)+Coefficienti!$B$10)*(1-Parametri!$B$4))*(1+Parametri!$B$5)+FerrGriglia!E9+Coefficienti!$B$11*Parametri!$B$6,2)</f>
        <v/>
      </c>
      <c r="F30" s="4">
        <f>ROUND((((Coefficienti!$B$1+Coefficienti!$B$2*F$22+Coefficienti!$B$3*$A30)*Parametri!$B$1+(Coefficienti!$B$4+Coefficienti!$B$5*F$22+Coefficienti!$B$6*$A30)*Parametri!$B$2)*(1-Parametri!$B$3)+((Coefficienti!$B$7+Coefficienti!$B$8*F$22+Coefficienti!$B$9*$A30)+Coefficienti!$B$10)*(1-Parametri!$B$4))*(1+Parametri!$B$5)+FerrGriglia!F9+Coefficienti!$B$11*Parametri!$B$6,2)</f>
        <v/>
      </c>
      <c r="G30" s="4">
        <f>ROUND((((Coefficienti!$B$1+Coefficienti!$B$2*G$22+Coefficienti!$B$3*$A30)*Parametri!$B$1+(Coefficienti!$B$4+Coefficienti!$B$5*G$22+Coefficienti!$B$6*$A30)*Parametri!$B$2)*(1-Parametri!$B$3)+((Coefficienti!$B$7+Coefficienti!$B$8*G$22+Coefficienti!$B$9*$A30)+Coefficienti!$B$10)*(1-Parametri!$B$4))*(1+Parametri!$B$5)+FerrGriglia!G9+Coefficienti!$B$11*Parametri!$B$6,2)</f>
        <v/>
      </c>
      <c r="H30" s="4">
        <f>ROUND((((Coefficienti!$B$1+Coefficienti!$B$2*H$22+Coefficienti!$B$3*$A30)*Parametri!$B$1+(Coefficienti!$B$4+Coefficienti!$B$5*H$22+Coefficienti!$B$6*$A30)*Parametri!$B$2)*(1-Parametri!$B$3)+((Coefficienti!$B$7+Coefficienti!$B$8*H$22+Coefficienti!$B$9*$A30)+Coefficienti!$B$10)*(1-Parametri!$B$4))*(1+Parametri!$B$5)+FerrGriglia!H9+Coefficienti!$B$11*Parametri!$B$6,2)</f>
        <v/>
      </c>
      <c r="I30" s="4">
        <f>ROUND((((Coefficienti!$B$1+Coefficienti!$B$2*I$22+Coefficienti!$B$3*$A30)*Parametri!$B$1+(Coefficienti!$B$4+Coefficienti!$B$5*I$22+Coefficienti!$B$6*$A30)*Parametri!$B$2)*(1-Parametri!$B$3)+((Coefficienti!$B$7+Coefficienti!$B$8*I$22+Coefficienti!$B$9*$A30)+Coefficienti!$B$10)*(1-Parametri!$B$4))*(1+Parametri!$B$5)+FerrGriglia!I9+Coefficienti!$B$11*Parametri!$B$6,2)</f>
        <v/>
      </c>
    </row>
    <row r="31">
      <c r="A31" s="2" t="n">
        <v>1300</v>
      </c>
      <c r="B31" s="4">
        <f>ROUND((((Coefficienti!$B$1+Coefficienti!$B$2*B$22+Coefficienti!$B$3*$A31)*Parametri!$B$1+(Coefficienti!$B$4+Coefficienti!$B$5*B$22+Coefficienti!$B$6*$A31)*Parametri!$B$2)*(1-Parametri!$B$3)+((Coefficienti!$B$7+Coefficienti!$B$8*B$22+Coefficienti!$B$9*$A31)+Coefficienti!$B$10)*(1-Parametri!$B$4))*(1+Parametri!$B$5)+FerrGriglia!B10+Coefficienti!$B$11*Parametri!$B$6,2)</f>
        <v/>
      </c>
      <c r="C31" s="4">
        <f>ROUND((((Coefficienti!$B$1+Coefficienti!$B$2*C$22+Coefficienti!$B$3*$A31)*Parametri!$B$1+(Coefficienti!$B$4+Coefficienti!$B$5*C$22+Coefficienti!$B$6*$A31)*Parametri!$B$2)*(1-Parametri!$B$3)+((Coefficienti!$B$7+Coefficienti!$B$8*C$22+Coefficienti!$B$9*$A31)+Coefficienti!$B$10)*(1-Parametri!$B$4))*(1+Parametri!$B$5)+FerrGriglia!C10+Coefficienti!$B$11*Parametri!$B$6,2)</f>
        <v/>
      </c>
      <c r="D31" s="4">
        <f>ROUND((((Coefficienti!$B$1+Coefficienti!$B$2*D$22+Coefficienti!$B$3*$A31)*Parametri!$B$1+(Coefficienti!$B$4+Coefficienti!$B$5*D$22+Coefficienti!$B$6*$A31)*Parametri!$B$2)*(1-Parametri!$B$3)+((Coefficienti!$B$7+Coefficienti!$B$8*D$22+Coefficienti!$B$9*$A31)+Coefficienti!$B$10)*(1-Parametri!$B$4))*(1+Parametri!$B$5)+FerrGriglia!D10+Coefficienti!$B$11*Parametri!$B$6,2)</f>
        <v/>
      </c>
      <c r="E31" s="4">
        <f>ROUND((((Coefficienti!$B$1+Coefficienti!$B$2*E$22+Coefficienti!$B$3*$A31)*Parametri!$B$1+(Coefficienti!$B$4+Coefficienti!$B$5*E$22+Coefficienti!$B$6*$A31)*Parametri!$B$2)*(1-Parametri!$B$3)+((Coefficienti!$B$7+Coefficienti!$B$8*E$22+Coefficienti!$B$9*$A31)+Coefficienti!$B$10)*(1-Parametri!$B$4))*(1+Parametri!$B$5)+FerrGriglia!E10+Coefficienti!$B$11*Parametri!$B$6,2)</f>
        <v/>
      </c>
      <c r="F31" s="4">
        <f>ROUND((((Coefficienti!$B$1+Coefficienti!$B$2*F$22+Coefficienti!$B$3*$A31)*Parametri!$B$1+(Coefficienti!$B$4+Coefficienti!$B$5*F$22+Coefficienti!$B$6*$A31)*Parametri!$B$2)*(1-Parametri!$B$3)+((Coefficienti!$B$7+Coefficienti!$B$8*F$22+Coefficienti!$B$9*$A31)+Coefficienti!$B$10)*(1-Parametri!$B$4))*(1+Parametri!$B$5)+FerrGriglia!F10+Coefficienti!$B$11*Parametri!$B$6,2)</f>
        <v/>
      </c>
      <c r="G31" s="4">
        <f>ROUND((((Coefficienti!$B$1+Coefficienti!$B$2*G$22+Coefficienti!$B$3*$A31)*Parametri!$B$1+(Coefficienti!$B$4+Coefficienti!$B$5*G$22+Coefficienti!$B$6*$A31)*Parametri!$B$2)*(1-Parametri!$B$3)+((Coefficienti!$B$7+Coefficienti!$B$8*G$22+Coefficienti!$B$9*$A31)+Coefficienti!$B$10)*(1-Parametri!$B$4))*(1+Parametri!$B$5)+FerrGriglia!G10+Coefficienti!$B$11*Parametri!$B$6,2)</f>
        <v/>
      </c>
      <c r="H31" s="4">
        <f>ROUND((((Coefficienti!$B$1+Coefficienti!$B$2*H$22+Coefficienti!$B$3*$A31)*Parametri!$B$1+(Coefficienti!$B$4+Coefficienti!$B$5*H$22+Coefficienti!$B$6*$A31)*Parametri!$B$2)*(1-Parametri!$B$3)+((Coefficienti!$B$7+Coefficienti!$B$8*H$22+Coefficienti!$B$9*$A31)+Coefficienti!$B$10)*(1-Parametri!$B$4))*(1+Parametri!$B$5)+FerrGriglia!H10+Coefficienti!$B$11*Parametri!$B$6,2)</f>
        <v/>
      </c>
      <c r="I31" s="4">
        <f>ROUND((((Coefficienti!$B$1+Coefficienti!$B$2*I$22+Coefficienti!$B$3*$A31)*Parametri!$B$1+(Coefficienti!$B$4+Coefficienti!$B$5*I$22+Coefficienti!$B$6*$A31)*Parametri!$B$2)*(1-Parametri!$B$3)+((Coefficienti!$B$7+Coefficienti!$B$8*I$22+Coefficienti!$B$9*$A31)+Coefficienti!$B$10)*(1-Parametri!$B$4))*(1+Parametri!$B$5)+FerrGriglia!I10+Coefficienti!$B$11*Parametri!$B$6,2)</f>
        <v/>
      </c>
    </row>
    <row r="32">
      <c r="A32" s="2" t="n">
        <v>1400</v>
      </c>
      <c r="B32" s="4">
        <f>ROUND((((Coefficienti!$B$1+Coefficienti!$B$2*B$22+Coefficienti!$B$3*$A32)*Parametri!$B$1+(Coefficienti!$B$4+Coefficienti!$B$5*B$22+Coefficienti!$B$6*$A32)*Parametri!$B$2)*(1-Parametri!$B$3)+((Coefficienti!$B$7+Coefficienti!$B$8*B$22+Coefficienti!$B$9*$A32)+Coefficienti!$B$10)*(1-Parametri!$B$4))*(1+Parametri!$B$5)+FerrGriglia!B11+Coefficienti!$B$11*Parametri!$B$6,2)</f>
        <v/>
      </c>
      <c r="C32" s="4">
        <f>ROUND((((Coefficienti!$B$1+Coefficienti!$B$2*C$22+Coefficienti!$B$3*$A32)*Parametri!$B$1+(Coefficienti!$B$4+Coefficienti!$B$5*C$22+Coefficienti!$B$6*$A32)*Parametri!$B$2)*(1-Parametri!$B$3)+((Coefficienti!$B$7+Coefficienti!$B$8*C$22+Coefficienti!$B$9*$A32)+Coefficienti!$B$10)*(1-Parametri!$B$4))*(1+Parametri!$B$5)+FerrGriglia!C11+Coefficienti!$B$11*Parametri!$B$6,2)</f>
        <v/>
      </c>
      <c r="D32" s="4">
        <f>ROUND((((Coefficienti!$B$1+Coefficienti!$B$2*D$22+Coefficienti!$B$3*$A32)*Parametri!$B$1+(Coefficienti!$B$4+Coefficienti!$B$5*D$22+Coefficienti!$B$6*$A32)*Parametri!$B$2)*(1-Parametri!$B$3)+((Coefficienti!$B$7+Coefficienti!$B$8*D$22+Coefficienti!$B$9*$A32)+Coefficienti!$B$10)*(1-Parametri!$B$4))*(1+Parametri!$B$5)+FerrGriglia!D11+Coefficienti!$B$11*Parametri!$B$6,2)</f>
        <v/>
      </c>
      <c r="E32" s="4">
        <f>ROUND((((Coefficienti!$B$1+Coefficienti!$B$2*E$22+Coefficienti!$B$3*$A32)*Parametri!$B$1+(Coefficienti!$B$4+Coefficienti!$B$5*E$22+Coefficienti!$B$6*$A32)*Parametri!$B$2)*(1-Parametri!$B$3)+((Coefficienti!$B$7+Coefficienti!$B$8*E$22+Coefficienti!$B$9*$A32)+Coefficienti!$B$10)*(1-Parametri!$B$4))*(1+Parametri!$B$5)+FerrGriglia!E11+Coefficienti!$B$11*Parametri!$B$6,2)</f>
        <v/>
      </c>
      <c r="F32" s="4">
        <f>ROUND((((Coefficienti!$B$1+Coefficienti!$B$2*F$22+Coefficienti!$B$3*$A32)*Parametri!$B$1+(Coefficienti!$B$4+Coefficienti!$B$5*F$22+Coefficienti!$B$6*$A32)*Parametri!$B$2)*(1-Parametri!$B$3)+((Coefficienti!$B$7+Coefficienti!$B$8*F$22+Coefficienti!$B$9*$A32)+Coefficienti!$B$10)*(1-Parametri!$B$4))*(1+Parametri!$B$5)+FerrGriglia!F11+Coefficienti!$B$11*Parametri!$B$6,2)</f>
        <v/>
      </c>
      <c r="G32" s="4">
        <f>ROUND((((Coefficienti!$B$1+Coefficienti!$B$2*G$22+Coefficienti!$B$3*$A32)*Parametri!$B$1+(Coefficienti!$B$4+Coefficienti!$B$5*G$22+Coefficienti!$B$6*$A32)*Parametri!$B$2)*(1-Parametri!$B$3)+((Coefficienti!$B$7+Coefficienti!$B$8*G$22+Coefficienti!$B$9*$A32)+Coefficienti!$B$10)*(1-Parametri!$B$4))*(1+Parametri!$B$5)+FerrGriglia!G11+Coefficienti!$B$11*Parametri!$B$6,2)</f>
        <v/>
      </c>
      <c r="H32" s="4">
        <f>ROUND((((Coefficienti!$B$1+Coefficienti!$B$2*H$22+Coefficienti!$B$3*$A32)*Parametri!$B$1+(Coefficienti!$B$4+Coefficienti!$B$5*H$22+Coefficienti!$B$6*$A32)*Parametri!$B$2)*(1-Parametri!$B$3)+((Coefficienti!$B$7+Coefficienti!$B$8*H$22+Coefficienti!$B$9*$A32)+Coefficienti!$B$10)*(1-Parametri!$B$4))*(1+Parametri!$B$5)+FerrGriglia!H11+Coefficienti!$B$11*Parametri!$B$6,2)</f>
        <v/>
      </c>
      <c r="I32" s="4">
        <f>ROUND((((Coefficienti!$B$1+Coefficienti!$B$2*I$22+Coefficienti!$B$3*$A32)*Parametri!$B$1+(Coefficienti!$B$4+Coefficienti!$B$5*I$22+Coefficienti!$B$6*$A32)*Parametri!$B$2)*(1-Parametri!$B$3)+((Coefficienti!$B$7+Coefficienti!$B$8*I$22+Coefficienti!$B$9*$A32)+Coefficienti!$B$10)*(1-Parametri!$B$4))*(1+Parametri!$B$5)+FerrGriglia!I11+Coefficienti!$B$11*Parametri!$B$6,2)</f>
        <v/>
      </c>
    </row>
    <row r="33">
      <c r="A33" s="2" t="n">
        <v>1500</v>
      </c>
      <c r="B33" s="4">
        <f>ROUND((((Coefficienti!$B$1+Coefficienti!$B$2*B$22+Coefficienti!$B$3*$A33)*Parametri!$B$1+(Coefficienti!$B$4+Coefficienti!$B$5*B$22+Coefficienti!$B$6*$A33)*Parametri!$B$2)*(1-Parametri!$B$3)+((Coefficienti!$B$7+Coefficienti!$B$8*B$22+Coefficienti!$B$9*$A33)+Coefficienti!$B$10)*(1-Parametri!$B$4))*(1+Parametri!$B$5)+FerrGriglia!B12+Coefficienti!$B$11*Parametri!$B$6,2)</f>
        <v/>
      </c>
      <c r="C33" s="4">
        <f>ROUND((((Coefficienti!$B$1+Coefficienti!$B$2*C$22+Coefficienti!$B$3*$A33)*Parametri!$B$1+(Coefficienti!$B$4+Coefficienti!$B$5*C$22+Coefficienti!$B$6*$A33)*Parametri!$B$2)*(1-Parametri!$B$3)+((Coefficienti!$B$7+Coefficienti!$B$8*C$22+Coefficienti!$B$9*$A33)+Coefficienti!$B$10)*(1-Parametri!$B$4))*(1+Parametri!$B$5)+FerrGriglia!C12+Coefficienti!$B$11*Parametri!$B$6,2)</f>
        <v/>
      </c>
      <c r="D33" s="4">
        <f>ROUND((((Coefficienti!$B$1+Coefficienti!$B$2*D$22+Coefficienti!$B$3*$A33)*Parametri!$B$1+(Coefficienti!$B$4+Coefficienti!$B$5*D$22+Coefficienti!$B$6*$A33)*Parametri!$B$2)*(1-Parametri!$B$3)+((Coefficienti!$B$7+Coefficienti!$B$8*D$22+Coefficienti!$B$9*$A33)+Coefficienti!$B$10)*(1-Parametri!$B$4))*(1+Parametri!$B$5)+FerrGriglia!D12+Coefficienti!$B$11*Parametri!$B$6,2)</f>
        <v/>
      </c>
      <c r="E33" s="4">
        <f>ROUND((((Coefficienti!$B$1+Coefficienti!$B$2*E$22+Coefficienti!$B$3*$A33)*Parametri!$B$1+(Coefficienti!$B$4+Coefficienti!$B$5*E$22+Coefficienti!$B$6*$A33)*Parametri!$B$2)*(1-Parametri!$B$3)+((Coefficienti!$B$7+Coefficienti!$B$8*E$22+Coefficienti!$B$9*$A33)+Coefficienti!$B$10)*(1-Parametri!$B$4))*(1+Parametri!$B$5)+FerrGriglia!E12+Coefficienti!$B$11*Parametri!$B$6,2)</f>
        <v/>
      </c>
      <c r="F33" s="4">
        <f>ROUND((((Coefficienti!$B$1+Coefficienti!$B$2*F$22+Coefficienti!$B$3*$A33)*Parametri!$B$1+(Coefficienti!$B$4+Coefficienti!$B$5*F$22+Coefficienti!$B$6*$A33)*Parametri!$B$2)*(1-Parametri!$B$3)+((Coefficienti!$B$7+Coefficienti!$B$8*F$22+Coefficienti!$B$9*$A33)+Coefficienti!$B$10)*(1-Parametri!$B$4))*(1+Parametri!$B$5)+FerrGriglia!F12+Coefficienti!$B$11*Parametri!$B$6,2)</f>
        <v/>
      </c>
      <c r="G33" s="4">
        <f>ROUND((((Coefficienti!$B$1+Coefficienti!$B$2*G$22+Coefficienti!$B$3*$A33)*Parametri!$B$1+(Coefficienti!$B$4+Coefficienti!$B$5*G$22+Coefficienti!$B$6*$A33)*Parametri!$B$2)*(1-Parametri!$B$3)+((Coefficienti!$B$7+Coefficienti!$B$8*G$22+Coefficienti!$B$9*$A33)+Coefficienti!$B$10)*(1-Parametri!$B$4))*(1+Parametri!$B$5)+FerrGriglia!G12+Coefficienti!$B$11*Parametri!$B$6,2)</f>
        <v/>
      </c>
      <c r="H33" s="4">
        <f>ROUND((((Coefficienti!$B$1+Coefficienti!$B$2*H$22+Coefficienti!$B$3*$A33)*Parametri!$B$1+(Coefficienti!$B$4+Coefficienti!$B$5*H$22+Coefficienti!$B$6*$A33)*Parametri!$B$2)*(1-Parametri!$B$3)+((Coefficienti!$B$7+Coefficienti!$B$8*H$22+Coefficienti!$B$9*$A33)+Coefficienti!$B$10)*(1-Parametri!$B$4))*(1+Parametri!$B$5)+FerrGriglia!H12+Coefficienti!$B$11*Parametri!$B$6,2)</f>
        <v/>
      </c>
      <c r="I33" s="4">
        <f>ROUND((((Coefficienti!$B$1+Coefficienti!$B$2*I$22+Coefficienti!$B$3*$A33)*Parametri!$B$1+(Coefficienti!$B$4+Coefficienti!$B$5*I$22+Coefficienti!$B$6*$A33)*Parametri!$B$2)*(1-Parametri!$B$3)+((Coefficienti!$B$7+Coefficienti!$B$8*I$22+Coefficienti!$B$9*$A33)+Coefficienti!$B$10)*(1-Parametri!$B$4))*(1+Parametri!$B$5)+FerrGriglia!I12+Coefficienti!$B$11*Parametri!$B$6,2)</f>
        <v/>
      </c>
    </row>
    <row r="34">
      <c r="A34" s="2" t="n">
        <v>1600</v>
      </c>
      <c r="B34" s="4">
        <f>ROUND((((Coefficienti!$B$1+Coefficienti!$B$2*B$22+Coefficienti!$B$3*$A34)*Parametri!$B$1+(Coefficienti!$B$4+Coefficienti!$B$5*B$22+Coefficienti!$B$6*$A34)*Parametri!$B$2)*(1-Parametri!$B$3)+((Coefficienti!$B$7+Coefficienti!$B$8*B$22+Coefficienti!$B$9*$A34)+Coefficienti!$B$10)*(1-Parametri!$B$4))*(1+Parametri!$B$5)+FerrGriglia!B13+Coefficienti!$B$11*Parametri!$B$6,2)</f>
        <v/>
      </c>
      <c r="C34" s="4">
        <f>ROUND((((Coefficienti!$B$1+Coefficienti!$B$2*C$22+Coefficienti!$B$3*$A34)*Parametri!$B$1+(Coefficienti!$B$4+Coefficienti!$B$5*C$22+Coefficienti!$B$6*$A34)*Parametri!$B$2)*(1-Parametri!$B$3)+((Coefficienti!$B$7+Coefficienti!$B$8*C$22+Coefficienti!$B$9*$A34)+Coefficienti!$B$10)*(1-Parametri!$B$4))*(1+Parametri!$B$5)+FerrGriglia!C13+Coefficienti!$B$11*Parametri!$B$6,2)</f>
        <v/>
      </c>
      <c r="D34" s="4">
        <f>ROUND((((Coefficienti!$B$1+Coefficienti!$B$2*D$22+Coefficienti!$B$3*$A34)*Parametri!$B$1+(Coefficienti!$B$4+Coefficienti!$B$5*D$22+Coefficienti!$B$6*$A34)*Parametri!$B$2)*(1-Parametri!$B$3)+((Coefficienti!$B$7+Coefficienti!$B$8*D$22+Coefficienti!$B$9*$A34)+Coefficienti!$B$10)*(1-Parametri!$B$4))*(1+Parametri!$B$5)+FerrGriglia!D13+Coefficienti!$B$11*Parametri!$B$6,2)</f>
        <v/>
      </c>
      <c r="E34" s="4">
        <f>ROUND((((Coefficienti!$B$1+Coefficienti!$B$2*E$22+Coefficienti!$B$3*$A34)*Parametri!$B$1+(Coefficienti!$B$4+Coefficienti!$B$5*E$22+Coefficienti!$B$6*$A34)*Parametri!$B$2)*(1-Parametri!$B$3)+((Coefficienti!$B$7+Coefficienti!$B$8*E$22+Coefficienti!$B$9*$A34)+Coefficienti!$B$10)*(1-Parametri!$B$4))*(1+Parametri!$B$5)+FerrGriglia!E13+Coefficienti!$B$11*Parametri!$B$6,2)</f>
        <v/>
      </c>
      <c r="F34" s="4">
        <f>ROUND((((Coefficienti!$B$1+Coefficienti!$B$2*F$22+Coefficienti!$B$3*$A34)*Parametri!$B$1+(Coefficienti!$B$4+Coefficienti!$B$5*F$22+Coefficienti!$B$6*$A34)*Parametri!$B$2)*(1-Parametri!$B$3)+((Coefficienti!$B$7+Coefficienti!$B$8*F$22+Coefficienti!$B$9*$A34)+Coefficienti!$B$10)*(1-Parametri!$B$4))*(1+Parametri!$B$5)+FerrGriglia!F13+Coefficienti!$B$11*Parametri!$B$6,2)</f>
        <v/>
      </c>
      <c r="G34" s="4">
        <f>ROUND((((Coefficienti!$B$1+Coefficienti!$B$2*G$22+Coefficienti!$B$3*$A34)*Parametri!$B$1+(Coefficienti!$B$4+Coefficienti!$B$5*G$22+Coefficienti!$B$6*$A34)*Parametri!$B$2)*(1-Parametri!$B$3)+((Coefficienti!$B$7+Coefficienti!$B$8*G$22+Coefficienti!$B$9*$A34)+Coefficienti!$B$10)*(1-Parametri!$B$4))*(1+Parametri!$B$5)+FerrGriglia!G13+Coefficienti!$B$11*Parametri!$B$6,2)</f>
        <v/>
      </c>
      <c r="H34" s="4">
        <f>ROUND((((Coefficienti!$B$1+Coefficienti!$B$2*H$22+Coefficienti!$B$3*$A34)*Parametri!$B$1+(Coefficienti!$B$4+Coefficienti!$B$5*H$22+Coefficienti!$B$6*$A34)*Parametri!$B$2)*(1-Parametri!$B$3)+((Coefficienti!$B$7+Coefficienti!$B$8*H$22+Coefficienti!$B$9*$A34)+Coefficienti!$B$10)*(1-Parametri!$B$4))*(1+Parametri!$B$5)+FerrGriglia!H13+Coefficienti!$B$11*Parametri!$B$6,2)</f>
        <v/>
      </c>
      <c r="I34" s="4">
        <f>ROUND((((Coefficienti!$B$1+Coefficienti!$B$2*I$22+Coefficienti!$B$3*$A34)*Parametri!$B$1+(Coefficienti!$B$4+Coefficienti!$B$5*I$22+Coefficienti!$B$6*$A34)*Parametri!$B$2)*(1-Parametri!$B$3)+((Coefficienti!$B$7+Coefficienti!$B$8*I$22+Coefficienti!$B$9*$A34)+Coefficienti!$B$10)*(1-Parametri!$B$4))*(1+Parametri!$B$5)+FerrGriglia!I13+Coefficienti!$B$11*Parametri!$B$6,2)</f>
        <v/>
      </c>
    </row>
    <row r="35">
      <c r="A35" s="2" t="n">
        <v>1700</v>
      </c>
      <c r="B35" s="4">
        <f>ROUND((((Coefficienti!$B$1+Coefficienti!$B$2*B$22+Coefficienti!$B$3*$A35)*Parametri!$B$1+(Coefficienti!$B$4+Coefficienti!$B$5*B$22+Coefficienti!$B$6*$A35)*Parametri!$B$2)*(1-Parametri!$B$3)+((Coefficienti!$B$7+Coefficienti!$B$8*B$22+Coefficienti!$B$9*$A35)+Coefficienti!$B$10)*(1-Parametri!$B$4))*(1+Parametri!$B$5)+FerrGriglia!B14+Coefficienti!$B$11*Parametri!$B$6,2)</f>
        <v/>
      </c>
      <c r="C35" s="4">
        <f>ROUND((((Coefficienti!$B$1+Coefficienti!$B$2*C$22+Coefficienti!$B$3*$A35)*Parametri!$B$1+(Coefficienti!$B$4+Coefficienti!$B$5*C$22+Coefficienti!$B$6*$A35)*Parametri!$B$2)*(1-Parametri!$B$3)+((Coefficienti!$B$7+Coefficienti!$B$8*C$22+Coefficienti!$B$9*$A35)+Coefficienti!$B$10)*(1-Parametri!$B$4))*(1+Parametri!$B$5)+FerrGriglia!C14+Coefficienti!$B$11*Parametri!$B$6,2)</f>
        <v/>
      </c>
      <c r="D35" s="4">
        <f>ROUND((((Coefficienti!$B$1+Coefficienti!$B$2*D$22+Coefficienti!$B$3*$A35)*Parametri!$B$1+(Coefficienti!$B$4+Coefficienti!$B$5*D$22+Coefficienti!$B$6*$A35)*Parametri!$B$2)*(1-Parametri!$B$3)+((Coefficienti!$B$7+Coefficienti!$B$8*D$22+Coefficienti!$B$9*$A35)+Coefficienti!$B$10)*(1-Parametri!$B$4))*(1+Parametri!$B$5)+FerrGriglia!D14+Coefficienti!$B$11*Parametri!$B$6,2)</f>
        <v/>
      </c>
      <c r="E35" s="4">
        <f>ROUND((((Coefficienti!$B$1+Coefficienti!$B$2*E$22+Coefficienti!$B$3*$A35)*Parametri!$B$1+(Coefficienti!$B$4+Coefficienti!$B$5*E$22+Coefficienti!$B$6*$A35)*Parametri!$B$2)*(1-Parametri!$B$3)+((Coefficienti!$B$7+Coefficienti!$B$8*E$22+Coefficienti!$B$9*$A35)+Coefficienti!$B$10)*(1-Parametri!$B$4))*(1+Parametri!$B$5)+FerrGriglia!E14+Coefficienti!$B$11*Parametri!$B$6,2)</f>
        <v/>
      </c>
      <c r="F35" s="4">
        <f>ROUND((((Coefficienti!$B$1+Coefficienti!$B$2*F$22+Coefficienti!$B$3*$A35)*Parametri!$B$1+(Coefficienti!$B$4+Coefficienti!$B$5*F$22+Coefficienti!$B$6*$A35)*Parametri!$B$2)*(1-Parametri!$B$3)+((Coefficienti!$B$7+Coefficienti!$B$8*F$22+Coefficienti!$B$9*$A35)+Coefficienti!$B$10)*(1-Parametri!$B$4))*(1+Parametri!$B$5)+FerrGriglia!F14+Coefficienti!$B$11*Parametri!$B$6,2)</f>
        <v/>
      </c>
      <c r="G35" s="4">
        <f>ROUND((((Coefficienti!$B$1+Coefficienti!$B$2*G$22+Coefficienti!$B$3*$A35)*Parametri!$B$1+(Coefficienti!$B$4+Coefficienti!$B$5*G$22+Coefficienti!$B$6*$A35)*Parametri!$B$2)*(1-Parametri!$B$3)+((Coefficienti!$B$7+Coefficienti!$B$8*G$22+Coefficienti!$B$9*$A35)+Coefficienti!$B$10)*(1-Parametri!$B$4))*(1+Parametri!$B$5)+FerrGriglia!G14+Coefficienti!$B$11*Parametri!$B$6,2)</f>
        <v/>
      </c>
      <c r="H35" s="4">
        <f>ROUND((((Coefficienti!$B$1+Coefficienti!$B$2*H$22+Coefficienti!$B$3*$A35)*Parametri!$B$1+(Coefficienti!$B$4+Coefficienti!$B$5*H$22+Coefficienti!$B$6*$A35)*Parametri!$B$2)*(1-Parametri!$B$3)+((Coefficienti!$B$7+Coefficienti!$B$8*H$22+Coefficienti!$B$9*$A35)+Coefficienti!$B$10)*(1-Parametri!$B$4))*(1+Parametri!$B$5)+FerrGriglia!H14+Coefficienti!$B$11*Parametri!$B$6,2)</f>
        <v/>
      </c>
      <c r="I35" s="4">
        <f>ROUND((((Coefficienti!$B$1+Coefficienti!$B$2*I$22+Coefficienti!$B$3*$A35)*Parametri!$B$1+(Coefficienti!$B$4+Coefficienti!$B$5*I$22+Coefficienti!$B$6*$A35)*Parametri!$B$2)*(1-Parametri!$B$3)+((Coefficienti!$B$7+Coefficienti!$B$8*I$22+Coefficienti!$B$9*$A35)+Coefficienti!$B$10)*(1-Parametri!$B$4))*(1+Parametri!$B$5)+FerrGriglia!I14+Coefficienti!$B$11*Parametri!$B$6,2)</f>
        <v/>
      </c>
    </row>
    <row r="36">
      <c r="A36" s="2" t="n">
        <v>1800</v>
      </c>
      <c r="B36" s="4">
        <f>ROUND((((Coefficienti!$B$1+Coefficienti!$B$2*B$22+Coefficienti!$B$3*$A36)*Parametri!$B$1+(Coefficienti!$B$4+Coefficienti!$B$5*B$22+Coefficienti!$B$6*$A36)*Parametri!$B$2)*(1-Parametri!$B$3)+((Coefficienti!$B$7+Coefficienti!$B$8*B$22+Coefficienti!$B$9*$A36)+Coefficienti!$B$10)*(1-Parametri!$B$4))*(1+Parametri!$B$5)+FerrGriglia!B15+Coefficienti!$B$11*Parametri!$B$6,2)</f>
        <v/>
      </c>
      <c r="C36" s="4">
        <f>ROUND((((Coefficienti!$B$1+Coefficienti!$B$2*C$22+Coefficienti!$B$3*$A36)*Parametri!$B$1+(Coefficienti!$B$4+Coefficienti!$B$5*C$22+Coefficienti!$B$6*$A36)*Parametri!$B$2)*(1-Parametri!$B$3)+((Coefficienti!$B$7+Coefficienti!$B$8*C$22+Coefficienti!$B$9*$A36)+Coefficienti!$B$10)*(1-Parametri!$B$4))*(1+Parametri!$B$5)+FerrGriglia!C15+Coefficienti!$B$11*Parametri!$B$6,2)</f>
        <v/>
      </c>
      <c r="D36" s="4">
        <f>ROUND((((Coefficienti!$B$1+Coefficienti!$B$2*D$22+Coefficienti!$B$3*$A36)*Parametri!$B$1+(Coefficienti!$B$4+Coefficienti!$B$5*D$22+Coefficienti!$B$6*$A36)*Parametri!$B$2)*(1-Parametri!$B$3)+((Coefficienti!$B$7+Coefficienti!$B$8*D$22+Coefficienti!$B$9*$A36)+Coefficienti!$B$10)*(1-Parametri!$B$4))*(1+Parametri!$B$5)+FerrGriglia!D15+Coefficienti!$B$11*Parametri!$B$6,2)</f>
        <v/>
      </c>
      <c r="E36" s="4">
        <f>ROUND((((Coefficienti!$B$1+Coefficienti!$B$2*E$22+Coefficienti!$B$3*$A36)*Parametri!$B$1+(Coefficienti!$B$4+Coefficienti!$B$5*E$22+Coefficienti!$B$6*$A36)*Parametri!$B$2)*(1-Parametri!$B$3)+((Coefficienti!$B$7+Coefficienti!$B$8*E$22+Coefficienti!$B$9*$A36)+Coefficienti!$B$10)*(1-Parametri!$B$4))*(1+Parametri!$B$5)+FerrGriglia!E15+Coefficienti!$B$11*Parametri!$B$6,2)</f>
        <v/>
      </c>
      <c r="F36" s="4">
        <f>ROUND((((Coefficienti!$B$1+Coefficienti!$B$2*F$22+Coefficienti!$B$3*$A36)*Parametri!$B$1+(Coefficienti!$B$4+Coefficienti!$B$5*F$22+Coefficienti!$B$6*$A36)*Parametri!$B$2)*(1-Parametri!$B$3)+((Coefficienti!$B$7+Coefficienti!$B$8*F$22+Coefficienti!$B$9*$A36)+Coefficienti!$B$10)*(1-Parametri!$B$4))*(1+Parametri!$B$5)+FerrGriglia!F15+Coefficienti!$B$11*Parametri!$B$6,2)</f>
        <v/>
      </c>
      <c r="G36" s="4">
        <f>ROUND((((Coefficienti!$B$1+Coefficienti!$B$2*G$22+Coefficienti!$B$3*$A36)*Parametri!$B$1+(Coefficienti!$B$4+Coefficienti!$B$5*G$22+Coefficienti!$B$6*$A36)*Parametri!$B$2)*(1-Parametri!$B$3)+((Coefficienti!$B$7+Coefficienti!$B$8*G$22+Coefficienti!$B$9*$A36)+Coefficienti!$B$10)*(1-Parametri!$B$4))*(1+Parametri!$B$5)+FerrGriglia!G15+Coefficienti!$B$11*Parametri!$B$6,2)</f>
        <v/>
      </c>
      <c r="H36" s="4">
        <f>ROUND((((Coefficienti!$B$1+Coefficienti!$B$2*H$22+Coefficienti!$B$3*$A36)*Parametri!$B$1+(Coefficienti!$B$4+Coefficienti!$B$5*H$22+Coefficienti!$B$6*$A36)*Parametri!$B$2)*(1-Parametri!$B$3)+((Coefficienti!$B$7+Coefficienti!$B$8*H$22+Coefficienti!$B$9*$A36)+Coefficienti!$B$10)*(1-Parametri!$B$4))*(1+Parametri!$B$5)+FerrGriglia!H15+Coefficienti!$B$11*Parametri!$B$6,2)</f>
        <v/>
      </c>
      <c r="I36" s="4">
        <f>ROUND((((Coefficienti!$B$1+Coefficienti!$B$2*I$22+Coefficienti!$B$3*$A36)*Parametri!$B$1+(Coefficienti!$B$4+Coefficienti!$B$5*I$22+Coefficienti!$B$6*$A36)*Parametri!$B$2)*(1-Parametri!$B$3)+((Coefficienti!$B$7+Coefficienti!$B$8*I$22+Coefficienti!$B$9*$A36)+Coefficienti!$B$10)*(1-Parametri!$B$4))*(1+Parametri!$B$5)+FerrGriglia!I15+Coefficienti!$B$11*Parametri!$B$6,2)</f>
        <v/>
      </c>
    </row>
    <row r="37">
      <c r="A37" s="2" t="n">
        <v>1900</v>
      </c>
      <c r="B37" s="4">
        <f>ROUND((((Coefficienti!$B$1+Coefficienti!$B$2*B$22+Coefficienti!$B$3*$A37)*Parametri!$B$1+(Coefficienti!$B$4+Coefficienti!$B$5*B$22+Coefficienti!$B$6*$A37)*Parametri!$B$2)*(1-Parametri!$B$3)+((Coefficienti!$B$7+Coefficienti!$B$8*B$22+Coefficienti!$B$9*$A37)+Coefficienti!$B$10)*(1-Parametri!$B$4))*(1+Parametri!$B$5)+FerrGriglia!B16+Coefficienti!$B$11*Parametri!$B$6,2)</f>
        <v/>
      </c>
      <c r="C37" s="4">
        <f>ROUND((((Coefficienti!$B$1+Coefficienti!$B$2*C$22+Coefficienti!$B$3*$A37)*Parametri!$B$1+(Coefficienti!$B$4+Coefficienti!$B$5*C$22+Coefficienti!$B$6*$A37)*Parametri!$B$2)*(1-Parametri!$B$3)+((Coefficienti!$B$7+Coefficienti!$B$8*C$22+Coefficienti!$B$9*$A37)+Coefficienti!$B$10)*(1-Parametri!$B$4))*(1+Parametri!$B$5)+FerrGriglia!C16+Coefficienti!$B$11*Parametri!$B$6,2)</f>
        <v/>
      </c>
      <c r="D37" s="4">
        <f>ROUND((((Coefficienti!$B$1+Coefficienti!$B$2*D$22+Coefficienti!$B$3*$A37)*Parametri!$B$1+(Coefficienti!$B$4+Coefficienti!$B$5*D$22+Coefficienti!$B$6*$A37)*Parametri!$B$2)*(1-Parametri!$B$3)+((Coefficienti!$B$7+Coefficienti!$B$8*D$22+Coefficienti!$B$9*$A37)+Coefficienti!$B$10)*(1-Parametri!$B$4))*(1+Parametri!$B$5)+FerrGriglia!D16+Coefficienti!$B$11*Parametri!$B$6,2)</f>
        <v/>
      </c>
      <c r="E37" s="4">
        <f>ROUND((((Coefficienti!$B$1+Coefficienti!$B$2*E$22+Coefficienti!$B$3*$A37)*Parametri!$B$1+(Coefficienti!$B$4+Coefficienti!$B$5*E$22+Coefficienti!$B$6*$A37)*Parametri!$B$2)*(1-Parametri!$B$3)+((Coefficienti!$B$7+Coefficienti!$B$8*E$22+Coefficienti!$B$9*$A37)+Coefficienti!$B$10)*(1-Parametri!$B$4))*(1+Parametri!$B$5)+FerrGriglia!E16+Coefficienti!$B$11*Parametri!$B$6,2)</f>
        <v/>
      </c>
      <c r="F37" s="4">
        <f>ROUND((((Coefficienti!$B$1+Coefficienti!$B$2*F$22+Coefficienti!$B$3*$A37)*Parametri!$B$1+(Coefficienti!$B$4+Coefficienti!$B$5*F$22+Coefficienti!$B$6*$A37)*Parametri!$B$2)*(1-Parametri!$B$3)+((Coefficienti!$B$7+Coefficienti!$B$8*F$22+Coefficienti!$B$9*$A37)+Coefficienti!$B$10)*(1-Parametri!$B$4))*(1+Parametri!$B$5)+FerrGriglia!F16+Coefficienti!$B$11*Parametri!$B$6,2)</f>
        <v/>
      </c>
      <c r="G37" s="4">
        <f>ROUND((((Coefficienti!$B$1+Coefficienti!$B$2*G$22+Coefficienti!$B$3*$A37)*Parametri!$B$1+(Coefficienti!$B$4+Coefficienti!$B$5*G$22+Coefficienti!$B$6*$A37)*Parametri!$B$2)*(1-Parametri!$B$3)+((Coefficienti!$B$7+Coefficienti!$B$8*G$22+Coefficienti!$B$9*$A37)+Coefficienti!$B$10)*(1-Parametri!$B$4))*(1+Parametri!$B$5)+FerrGriglia!G16+Coefficienti!$B$11*Parametri!$B$6,2)</f>
        <v/>
      </c>
      <c r="H37" s="4">
        <f>ROUND((((Coefficienti!$B$1+Coefficienti!$B$2*H$22+Coefficienti!$B$3*$A37)*Parametri!$B$1+(Coefficienti!$B$4+Coefficienti!$B$5*H$22+Coefficienti!$B$6*$A37)*Parametri!$B$2)*(1-Parametri!$B$3)+((Coefficienti!$B$7+Coefficienti!$B$8*H$22+Coefficienti!$B$9*$A37)+Coefficienti!$B$10)*(1-Parametri!$B$4))*(1+Parametri!$B$5)+FerrGriglia!H16+Coefficienti!$B$11*Parametri!$B$6,2)</f>
        <v/>
      </c>
      <c r="I37" s="4">
        <f>ROUND((((Coefficienti!$B$1+Coefficienti!$B$2*I$22+Coefficienti!$B$3*$A37)*Parametri!$B$1+(Coefficienti!$B$4+Coefficienti!$B$5*I$22+Coefficienti!$B$6*$A37)*Parametri!$B$2)*(1-Parametri!$B$3)+((Coefficienti!$B$7+Coefficienti!$B$8*I$22+Coefficienti!$B$9*$A37)+Coefficienti!$B$10)*(1-Parametri!$B$4))*(1+Parametri!$B$5)+FerrGriglia!I16+Coefficienti!$B$11*Parametri!$B$6,2)</f>
        <v/>
      </c>
    </row>
    <row r="38">
      <c r="A38" s="2" t="n">
        <v>2000</v>
      </c>
      <c r="B38" s="4">
        <f>ROUND((((Coefficienti!$B$1+Coefficienti!$B$2*B$22+Coefficienti!$B$3*$A38)*Parametri!$B$1+(Coefficienti!$B$4+Coefficienti!$B$5*B$22+Coefficienti!$B$6*$A38)*Parametri!$B$2)*(1-Parametri!$B$3)+((Coefficienti!$B$7+Coefficienti!$B$8*B$22+Coefficienti!$B$9*$A38)+Coefficienti!$B$10)*(1-Parametri!$B$4))*(1+Parametri!$B$5)+FerrGriglia!B17+Coefficienti!$B$11*Parametri!$B$6,2)</f>
        <v/>
      </c>
      <c r="C38" s="4">
        <f>ROUND((((Coefficienti!$B$1+Coefficienti!$B$2*C$22+Coefficienti!$B$3*$A38)*Parametri!$B$1+(Coefficienti!$B$4+Coefficienti!$B$5*C$22+Coefficienti!$B$6*$A38)*Parametri!$B$2)*(1-Parametri!$B$3)+((Coefficienti!$B$7+Coefficienti!$B$8*C$22+Coefficienti!$B$9*$A38)+Coefficienti!$B$10)*(1-Parametri!$B$4))*(1+Parametri!$B$5)+FerrGriglia!C17+Coefficienti!$B$11*Parametri!$B$6,2)</f>
        <v/>
      </c>
      <c r="D38" s="4">
        <f>ROUND((((Coefficienti!$B$1+Coefficienti!$B$2*D$22+Coefficienti!$B$3*$A38)*Parametri!$B$1+(Coefficienti!$B$4+Coefficienti!$B$5*D$22+Coefficienti!$B$6*$A38)*Parametri!$B$2)*(1-Parametri!$B$3)+((Coefficienti!$B$7+Coefficienti!$B$8*D$22+Coefficienti!$B$9*$A38)+Coefficienti!$B$10)*(1-Parametri!$B$4))*(1+Parametri!$B$5)+FerrGriglia!D17+Coefficienti!$B$11*Parametri!$B$6,2)</f>
        <v/>
      </c>
      <c r="E38" s="4">
        <f>ROUND((((Coefficienti!$B$1+Coefficienti!$B$2*E$22+Coefficienti!$B$3*$A38)*Parametri!$B$1+(Coefficienti!$B$4+Coefficienti!$B$5*E$22+Coefficienti!$B$6*$A38)*Parametri!$B$2)*(1-Parametri!$B$3)+((Coefficienti!$B$7+Coefficienti!$B$8*E$22+Coefficienti!$B$9*$A38)+Coefficienti!$B$10)*(1-Parametri!$B$4))*(1+Parametri!$B$5)+FerrGriglia!E17+Coefficienti!$B$11*Parametri!$B$6,2)</f>
        <v/>
      </c>
      <c r="F38" s="4">
        <f>ROUND((((Coefficienti!$B$1+Coefficienti!$B$2*F$22+Coefficienti!$B$3*$A38)*Parametri!$B$1+(Coefficienti!$B$4+Coefficienti!$B$5*F$22+Coefficienti!$B$6*$A38)*Parametri!$B$2)*(1-Parametri!$B$3)+((Coefficienti!$B$7+Coefficienti!$B$8*F$22+Coefficienti!$B$9*$A38)+Coefficienti!$B$10)*(1-Parametri!$B$4))*(1+Parametri!$B$5)+FerrGriglia!F17+Coefficienti!$B$11*Parametri!$B$6,2)</f>
        <v/>
      </c>
      <c r="G38" s="4">
        <f>ROUND((((Coefficienti!$B$1+Coefficienti!$B$2*G$22+Coefficienti!$B$3*$A38)*Parametri!$B$1+(Coefficienti!$B$4+Coefficienti!$B$5*G$22+Coefficienti!$B$6*$A38)*Parametri!$B$2)*(1-Parametri!$B$3)+((Coefficienti!$B$7+Coefficienti!$B$8*G$22+Coefficienti!$B$9*$A38)+Coefficienti!$B$10)*(1-Parametri!$B$4))*(1+Parametri!$B$5)+FerrGriglia!G17+Coefficienti!$B$11*Parametri!$B$6,2)</f>
        <v/>
      </c>
      <c r="H38" s="4">
        <f>ROUND((((Coefficienti!$B$1+Coefficienti!$B$2*H$22+Coefficienti!$B$3*$A38)*Parametri!$B$1+(Coefficienti!$B$4+Coefficienti!$B$5*H$22+Coefficienti!$B$6*$A38)*Parametri!$B$2)*(1-Parametri!$B$3)+((Coefficienti!$B$7+Coefficienti!$B$8*H$22+Coefficienti!$B$9*$A38)+Coefficienti!$B$10)*(1-Parametri!$B$4))*(1+Parametri!$B$5)+FerrGriglia!H17+Coefficienti!$B$11*Parametri!$B$6,2)</f>
        <v/>
      </c>
      <c r="I38" s="4">
        <f>ROUND((((Coefficienti!$B$1+Coefficienti!$B$2*I$22+Coefficienti!$B$3*$A38)*Parametri!$B$1+(Coefficienti!$B$4+Coefficienti!$B$5*I$22+Coefficienti!$B$6*$A38)*Parametri!$B$2)*(1-Parametri!$B$3)+((Coefficienti!$B$7+Coefficienti!$B$8*I$22+Coefficienti!$B$9*$A38)+Coefficienti!$B$10)*(1-Parametri!$B$4))*(1+Parametri!$B$5)+FerrGriglia!I17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-0.27048</v>
      </c>
    </row>
    <row r="2">
      <c r="A2" s="5" t="inlineStr">
        <is>
          <t>Peso taglio termico per mm di L (kg/mm)</t>
        </is>
      </c>
      <c r="B2" s="5" t="n">
        <v>0.00598</v>
      </c>
    </row>
    <row r="3">
      <c r="A3" s="5" t="inlineStr">
        <is>
          <t>Peso taglio termico per mm di H (kg/mm)</t>
        </is>
      </c>
      <c r="B3" s="5" t="n">
        <v>0.00598</v>
      </c>
    </row>
    <row r="4">
      <c r="A4" s="5" t="inlineStr">
        <is>
          <t>Peso profili normali costante (kg)</t>
        </is>
      </c>
      <c r="B4" s="5" t="n">
        <v>-0.22792</v>
      </c>
    </row>
    <row r="5">
      <c r="A5" s="5" t="inlineStr">
        <is>
          <t>Peso normali per mm di L (kg/mm)</t>
        </is>
      </c>
      <c r="B5" s="5" t="n">
        <v>0.00074</v>
      </c>
    </row>
    <row r="6">
      <c r="A6" s="5" t="inlineStr">
        <is>
          <t>Peso normali per mm di H (kg/mm)</t>
        </is>
      </c>
      <c r="B6" s="5" t="n">
        <v>0.00074</v>
      </c>
    </row>
    <row r="7">
      <c r="A7" s="5" t="inlineStr">
        <is>
          <t>Guarnizioni costante (€ listino)</t>
        </is>
      </c>
      <c r="B7" s="5" t="n">
        <v>0.009812</v>
      </c>
    </row>
    <row r="8">
      <c r="A8" s="5" t="inlineStr">
        <is>
          <t>Guarnizioni per mm di L (€/mm)</t>
        </is>
      </c>
      <c r="B8" s="5" t="n">
        <v>0.002453</v>
      </c>
    </row>
    <row r="9">
      <c r="A9" s="5" t="inlineStr">
        <is>
          <t>Guarnizioni per mm di H (€/mm)</t>
        </is>
      </c>
      <c r="B9" s="5" t="n">
        <v>0.002453</v>
      </c>
    </row>
    <row r="10">
      <c r="A10" s="5" t="inlineStr">
        <is>
          <t>Accessori totale (€ listino)</t>
        </is>
      </c>
      <c r="B10" s="5" t="n">
        <v>33.624</v>
      </c>
    </row>
    <row r="11">
      <c r="A11" s="5" t="inlineStr">
        <is>
          <t>Ore manodopera</t>
        </is>
      </c>
      <c r="B11" s="5" t="n">
        <v>2.66666667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1000x1500 (FFB/FFH = anta-20). Le griglie usano il foglio FerrGriglia (kit per ogni misura).</t>
        </is>
      </c>
    </row>
    <row r="2">
      <c r="A2" s="5" t="inlineStr">
        <is>
          <t>Cremonese Multi-Matic (lvMWEspagnoletteGesamt) (201745)</t>
        </is>
      </c>
      <c r="B2" s="8" t="n">
        <v>1</v>
      </c>
      <c r="C2" s="6" t="n">
        <v>3.57</v>
      </c>
      <c r="D2" s="4">
        <f>B2*C2</f>
        <v/>
      </c>
      <c r="E2" s="5" t="inlineStr">
        <is>
          <t>netto 2025</t>
        </is>
      </c>
    </row>
    <row r="3">
      <c r="A3" s="5" t="inlineStr">
        <is>
          <t>Prolunga cremonese sopra (VerlaengerungFixOben) (201750)</t>
        </is>
      </c>
      <c r="B3" s="8" t="n">
        <v>1</v>
      </c>
      <c r="C3" s="6" t="n">
        <v>2.17</v>
      </c>
      <c r="D3" s="4">
        <f>B3*C3</f>
        <v/>
      </c>
      <c r="E3" s="5" t="inlineStr">
        <is>
          <t>netto 2025</t>
        </is>
      </c>
    </row>
    <row r="4">
      <c r="A4" s="5" t="inlineStr">
        <is>
          <t>Prolunga cremonese sotto (VerlaengerungFixUnten) (201750)</t>
        </is>
      </c>
      <c r="B4" s="8" t="n">
        <v>1</v>
      </c>
      <c r="C4" s="6" t="n">
        <v>2.17</v>
      </c>
      <c r="D4" s="4">
        <f>B4*C4</f>
        <v/>
      </c>
      <c r="E4" s="5" t="inlineStr">
        <is>
          <t>netto 2025</t>
        </is>
      </c>
    </row>
    <row r="5">
      <c r="A5" s="5" t="inlineStr">
        <is>
          <t>Movimento angolare MM (Eckumlenkung) (222201)</t>
        </is>
      </c>
      <c r="B5" s="8" t="n">
        <v>1</v>
      </c>
      <c r="C5" s="6" t="n">
        <v>1.33</v>
      </c>
      <c r="D5" s="4">
        <f>B5*C5</f>
        <v/>
      </c>
      <c r="E5" s="5" t="inlineStr">
        <is>
          <t>netto 2025</t>
        </is>
      </c>
    </row>
    <row r="6">
      <c r="A6" s="5" t="inlineStr">
        <is>
          <t>Movimento angolare verticale (EckumlenkungVertikal) (222209)</t>
        </is>
      </c>
      <c r="B6" s="8" t="n">
        <v>1</v>
      </c>
      <c r="C6" s="6" t="n">
        <v>0.92</v>
      </c>
      <c r="D6" s="4">
        <f>B6*C6</f>
        <v/>
      </c>
      <c r="E6" s="5" t="inlineStr">
        <is>
          <t>netto 2025</t>
        </is>
      </c>
    </row>
    <row r="7">
      <c r="A7" s="5" t="inlineStr">
        <is>
          <t>Chiusura centrale lato cerniere (MittelverschlussEinteiligIS) (211930)</t>
        </is>
      </c>
      <c r="B7" s="8" t="n">
        <v>1</v>
      </c>
      <c r="C7" s="6" t="n">
        <v>2.03</v>
      </c>
      <c r="D7" s="4">
        <f>B7*C7</f>
        <v/>
      </c>
      <c r="E7" s="5" t="inlineStr">
        <is>
          <t>netto 2025</t>
        </is>
      </c>
    </row>
    <row r="8">
      <c r="A8" s="5" t="inlineStr">
        <is>
          <t>Chiusura centrale orizzontale (Mittelverschluss) (211929)</t>
        </is>
      </c>
      <c r="B8" s="8" t="n">
        <v>1</v>
      </c>
      <c r="C8" s="6" t="n">
        <v>1.77</v>
      </c>
      <c r="D8" s="4">
        <f>B8*C8</f>
        <v/>
      </c>
      <c r="E8" s="5" t="inlineStr">
        <is>
          <t>netto 2025</t>
        </is>
      </c>
    </row>
    <row r="9">
      <c r="A9" s="5" t="inlineStr">
        <is>
          <t>Forbice + braccio (ScherenMontiert) (211900)</t>
        </is>
      </c>
      <c r="B9" s="8" t="n">
        <v>1</v>
      </c>
      <c r="C9" s="6" t="n">
        <v>3.24</v>
      </c>
      <c r="D9" s="4">
        <f>B9*C9</f>
        <v/>
      </c>
      <c r="E9" s="5" t="inlineStr">
        <is>
          <t>netto 2025</t>
        </is>
      </c>
    </row>
    <row r="10">
      <c r="A10" s="5" t="inlineStr">
        <is>
          <t>Forbice + braccio (ScherenMontiert) (211901)</t>
        </is>
      </c>
      <c r="B10" s="8" t="n">
        <v>1</v>
      </c>
      <c r="C10" s="6" t="n">
        <v>3.24</v>
      </c>
      <c r="D10" s="4">
        <f>B10*C10</f>
        <v/>
      </c>
      <c r="E10" s="5" t="inlineStr">
        <is>
          <t>netto 2025</t>
        </is>
      </c>
    </row>
    <row r="11">
      <c r="A11" s="5" t="inlineStr">
        <is>
          <t>Asta lato cerniere tagliabile (Drehbandstulp) (202269)</t>
        </is>
      </c>
      <c r="B11" s="8" t="n">
        <v>1</v>
      </c>
      <c r="C11" s="6" t="n">
        <v>2.87</v>
      </c>
      <c r="D11" s="4">
        <f>B11*C11</f>
        <v/>
      </c>
      <c r="E11" s="5" t="inlineStr">
        <is>
          <t>netto 2025</t>
        </is>
      </c>
    </row>
    <row r="12">
      <c r="A12" s="5" t="inlineStr">
        <is>
          <t>Cerniera angolare (ArtNrEcklager) (250400)</t>
        </is>
      </c>
      <c r="B12" s="8" t="n">
        <v>1</v>
      </c>
      <c r="C12" s="6" t="n">
        <v>5.45</v>
      </c>
      <c r="D12" s="4">
        <f>B12*C12</f>
        <v/>
      </c>
      <c r="E12" s="5" t="inlineStr">
        <is>
          <t>netto 2025</t>
        </is>
      </c>
    </row>
    <row r="13">
      <c r="A13" s="5" t="inlineStr">
        <is>
          <t>Bandella cerniera angolare (ArtNrEcklagerband) (215806)</t>
        </is>
      </c>
      <c r="B13" s="8" t="n">
        <v>1</v>
      </c>
      <c r="C13" s="6" t="n">
        <v>2.33</v>
      </c>
      <c r="D13" s="4">
        <f>B13*C13</f>
        <v/>
      </c>
      <c r="E13" s="5" t="inlineStr">
        <is>
          <t>netto 2025</t>
        </is>
      </c>
    </row>
    <row r="14">
      <c r="A14" s="5" t="inlineStr">
        <is>
          <t>Scontro fungo IS (SchliessteilIS) (356361)</t>
        </is>
      </c>
      <c r="B14" s="8" t="n">
        <v>2</v>
      </c>
      <c r="C14" s="6" t="n">
        <v>0.3728</v>
      </c>
      <c r="D14" s="4">
        <f>B14*C14</f>
        <v/>
      </c>
      <c r="E14" s="5" t="inlineStr">
        <is>
          <t>netto 2025</t>
        </is>
      </c>
    </row>
    <row r="15">
      <c r="A15" s="5" t="inlineStr">
        <is>
          <t>Martellina DK — non nel netto 2025 (1033)</t>
        </is>
      </c>
      <c r="B15" s="8" t="n">
        <v>1</v>
      </c>
      <c r="C15" s="6" t="n">
        <v>5.5</v>
      </c>
      <c r="D15" s="4">
        <f>B15*C15</f>
        <v/>
      </c>
      <c r="E15" s="5" t="inlineStr">
        <is>
          <t>manuale</t>
        </is>
      </c>
    </row>
    <row r="16">
      <c r="A16" s="5" t="inlineStr">
        <is>
          <t>Scontro nottolino personalizzato (VZPersonalisiert) — NON a listino (355866)</t>
        </is>
      </c>
      <c r="B16" s="8" t="n">
        <v>4</v>
      </c>
      <c r="C16" s="6" t="n">
        <v>0</v>
      </c>
      <c r="D16" s="4">
        <f>B16*C16</f>
        <v/>
      </c>
      <c r="E16" s="5" t="inlineStr">
        <is>
          <t>da inserire</t>
        </is>
      </c>
    </row>
    <row r="17">
      <c r="A17" s="9" t="inlineStr">
        <is>
          <t>TOTALE FERRAMENTA</t>
        </is>
      </c>
      <c r="D17" s="10">
        <f>SUM(D2:D16)</f>
        <v/>
      </c>
    </row>
    <row r="19">
      <c r="A19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500</v>
      </c>
      <c r="C1" s="9" t="n">
        <v>600</v>
      </c>
      <c r="D1" s="9" t="n">
        <v>700</v>
      </c>
      <c r="E1" s="9" t="n">
        <v>800</v>
      </c>
      <c r="F1" s="9" t="n">
        <v>900</v>
      </c>
      <c r="G1" s="9" t="n">
        <v>1000</v>
      </c>
      <c r="H1" s="9" t="n">
        <v>1100</v>
      </c>
      <c r="I1" s="9" t="n">
        <v>1200</v>
      </c>
    </row>
    <row r="2">
      <c r="A2" s="9" t="n">
        <v>500</v>
      </c>
      <c r="B2" s="4" t="n">
        <v>22.25</v>
      </c>
      <c r="C2" s="4" t="n">
        <v>25.12</v>
      </c>
      <c r="D2" s="4" t="n">
        <v>25.48</v>
      </c>
      <c r="E2" s="4" t="n">
        <v>25.48</v>
      </c>
      <c r="F2" s="4" t="n">
        <v>28.21</v>
      </c>
      <c r="G2" s="4" t="n">
        <v>28.21</v>
      </c>
      <c r="H2" s="4" t="n">
        <v>28.67</v>
      </c>
      <c r="I2" s="4" t="n">
        <v>29.15</v>
      </c>
    </row>
    <row r="3">
      <c r="A3" s="9" t="n">
        <v>600</v>
      </c>
      <c r="B3" s="4" t="n">
        <v>22.25</v>
      </c>
      <c r="C3" s="4" t="n">
        <v>25.12</v>
      </c>
      <c r="D3" s="4" t="n">
        <v>25.48</v>
      </c>
      <c r="E3" s="4" t="n">
        <v>25.48</v>
      </c>
      <c r="F3" s="4" t="n">
        <v>28.21</v>
      </c>
      <c r="G3" s="4" t="n">
        <v>28.21</v>
      </c>
      <c r="H3" s="4" t="n">
        <v>28.67</v>
      </c>
      <c r="I3" s="4" t="n">
        <v>29.15</v>
      </c>
    </row>
    <row r="4">
      <c r="A4" s="9" t="n">
        <v>700</v>
      </c>
      <c r="B4" s="4" t="n">
        <v>22.25</v>
      </c>
      <c r="C4" s="4" t="n">
        <v>25.12</v>
      </c>
      <c r="D4" s="4" t="n">
        <v>25.48</v>
      </c>
      <c r="E4" s="4" t="n">
        <v>25.48</v>
      </c>
      <c r="F4" s="4" t="n">
        <v>28.21</v>
      </c>
      <c r="G4" s="4" t="n">
        <v>28.21</v>
      </c>
      <c r="H4" s="4" t="n">
        <v>28.67</v>
      </c>
      <c r="I4" s="4" t="n">
        <v>29.15</v>
      </c>
    </row>
    <row r="5">
      <c r="A5" s="9" t="n">
        <v>800</v>
      </c>
      <c r="B5" s="4" t="n">
        <v>22.73</v>
      </c>
      <c r="C5" s="4" t="n">
        <v>25.6</v>
      </c>
      <c r="D5" s="4" t="n">
        <v>25.96</v>
      </c>
      <c r="E5" s="4" t="n">
        <v>25.96</v>
      </c>
      <c r="F5" s="4" t="n">
        <v>28.69</v>
      </c>
      <c r="G5" s="4" t="n">
        <v>28.69</v>
      </c>
      <c r="H5" s="4" t="n">
        <v>29.15</v>
      </c>
      <c r="I5" s="4" t="n">
        <v>29.63</v>
      </c>
    </row>
    <row r="6">
      <c r="A6" s="9" t="n">
        <v>900</v>
      </c>
      <c r="B6" s="4" t="n">
        <v>28.8</v>
      </c>
      <c r="C6" s="4" t="n">
        <v>31.67</v>
      </c>
      <c r="D6" s="4" t="n">
        <v>32.03</v>
      </c>
      <c r="E6" s="4" t="n">
        <v>32.03</v>
      </c>
      <c r="F6" s="4" t="n">
        <v>34.76</v>
      </c>
      <c r="G6" s="4" t="n">
        <v>34.76</v>
      </c>
      <c r="H6" s="4" t="n">
        <v>35.22</v>
      </c>
      <c r="I6" s="4" t="n">
        <v>35.7</v>
      </c>
    </row>
    <row r="7">
      <c r="A7" s="9" t="n">
        <v>1000</v>
      </c>
      <c r="B7" s="4" t="n">
        <v>29.52</v>
      </c>
      <c r="C7" s="4" t="n">
        <v>32.39</v>
      </c>
      <c r="D7" s="4" t="n">
        <v>32.75</v>
      </c>
      <c r="E7" s="4" t="n">
        <v>32.75</v>
      </c>
      <c r="F7" s="4" t="n">
        <v>35.48</v>
      </c>
      <c r="G7" s="4" t="n">
        <v>35.48</v>
      </c>
      <c r="H7" s="4" t="n">
        <v>35.94</v>
      </c>
      <c r="I7" s="4" t="n">
        <v>36.42</v>
      </c>
    </row>
    <row r="8">
      <c r="A8" s="9" t="n">
        <v>1100</v>
      </c>
      <c r="B8" s="4" t="n">
        <v>29.52</v>
      </c>
      <c r="C8" s="4" t="n">
        <v>32.39</v>
      </c>
      <c r="D8" s="4" t="n">
        <v>32.75</v>
      </c>
      <c r="E8" s="4" t="n">
        <v>32.75</v>
      </c>
      <c r="F8" s="4" t="n">
        <v>35.48</v>
      </c>
      <c r="G8" s="4" t="n">
        <v>35.48</v>
      </c>
      <c r="H8" s="4" t="n">
        <v>35.94</v>
      </c>
      <c r="I8" s="4" t="n">
        <v>36.42</v>
      </c>
    </row>
    <row r="9">
      <c r="A9" s="9" t="n">
        <v>1200</v>
      </c>
      <c r="B9" s="4" t="n">
        <v>30.06</v>
      </c>
      <c r="C9" s="4" t="n">
        <v>32.93</v>
      </c>
      <c r="D9" s="4" t="n">
        <v>33.29</v>
      </c>
      <c r="E9" s="4" t="n">
        <v>33.29</v>
      </c>
      <c r="F9" s="4" t="n">
        <v>36.02</v>
      </c>
      <c r="G9" s="4" t="n">
        <v>36.02</v>
      </c>
      <c r="H9" s="4" t="n">
        <v>36.48</v>
      </c>
      <c r="I9" s="4" t="n">
        <v>36.96</v>
      </c>
    </row>
    <row r="10">
      <c r="A10" s="9" t="n">
        <v>1300</v>
      </c>
      <c r="B10" s="4" t="n">
        <v>29.58</v>
      </c>
      <c r="C10" s="4" t="n">
        <v>32.45</v>
      </c>
      <c r="D10" s="4" t="n">
        <v>32.81</v>
      </c>
      <c r="E10" s="4" t="n">
        <v>32.81</v>
      </c>
      <c r="F10" s="4" t="n">
        <v>35.54</v>
      </c>
      <c r="G10" s="4" t="n">
        <v>35.54</v>
      </c>
      <c r="H10" s="4" t="n">
        <v>36</v>
      </c>
      <c r="I10" s="4" t="n">
        <v>36.48</v>
      </c>
    </row>
    <row r="11">
      <c r="A11" s="9" t="n">
        <v>1400</v>
      </c>
      <c r="B11" s="4" t="n">
        <v>29.84</v>
      </c>
      <c r="C11" s="4" t="n">
        <v>32.71</v>
      </c>
      <c r="D11" s="4" t="n">
        <v>33.07</v>
      </c>
      <c r="E11" s="4" t="n">
        <v>33.07</v>
      </c>
      <c r="F11" s="4" t="n">
        <v>35.8</v>
      </c>
      <c r="G11" s="4" t="n">
        <v>35.8</v>
      </c>
      <c r="H11" s="4" t="n">
        <v>36.26</v>
      </c>
      <c r="I11" s="4" t="n">
        <v>36.74</v>
      </c>
    </row>
    <row r="12">
      <c r="A12" s="9" t="n">
        <v>1500</v>
      </c>
      <c r="B12" s="4" t="n">
        <v>31.38</v>
      </c>
      <c r="C12" s="4" t="n">
        <v>34.25</v>
      </c>
      <c r="D12" s="4" t="n">
        <v>34.61</v>
      </c>
      <c r="E12" s="4" t="n">
        <v>34.61</v>
      </c>
      <c r="F12" s="4" t="n">
        <v>37.34</v>
      </c>
      <c r="G12" s="4" t="n">
        <v>37.34</v>
      </c>
      <c r="H12" s="4" t="n">
        <v>37.8</v>
      </c>
      <c r="I12" s="4" t="n">
        <v>38.28</v>
      </c>
    </row>
    <row r="13">
      <c r="A13" s="9" t="n">
        <v>1600</v>
      </c>
      <c r="B13" s="4" t="n">
        <v>31.53</v>
      </c>
      <c r="C13" s="4" t="n">
        <v>34.4</v>
      </c>
      <c r="D13" s="4" t="n">
        <v>34.76</v>
      </c>
      <c r="E13" s="4" t="n">
        <v>34.76</v>
      </c>
      <c r="F13" s="4" t="n">
        <v>37.49</v>
      </c>
      <c r="G13" s="4" t="n">
        <v>37.49</v>
      </c>
      <c r="H13" s="4" t="n">
        <v>37.95</v>
      </c>
      <c r="I13" s="4" t="n">
        <v>38.43</v>
      </c>
    </row>
    <row r="14">
      <c r="A14" s="9" t="n">
        <v>1700</v>
      </c>
      <c r="B14" s="4" t="n">
        <v>31.8</v>
      </c>
      <c r="C14" s="4" t="n">
        <v>34.67</v>
      </c>
      <c r="D14" s="4" t="n">
        <v>35.03</v>
      </c>
      <c r="E14" s="4" t="n">
        <v>35.03</v>
      </c>
      <c r="F14" s="4" t="n">
        <v>37.76</v>
      </c>
      <c r="G14" s="4" t="n">
        <v>37.76</v>
      </c>
      <c r="H14" s="4" t="n">
        <v>38.22</v>
      </c>
      <c r="I14" s="4" t="n">
        <v>38.7</v>
      </c>
    </row>
    <row r="15">
      <c r="A15" s="9" t="n">
        <v>1800</v>
      </c>
      <c r="B15" s="4" t="n">
        <v>32.42</v>
      </c>
      <c r="C15" s="4" t="n">
        <v>35.29</v>
      </c>
      <c r="D15" s="4" t="n">
        <v>35.65</v>
      </c>
      <c r="E15" s="4" t="n">
        <v>35.65</v>
      </c>
      <c r="F15" s="4" t="n">
        <v>38.38</v>
      </c>
      <c r="G15" s="4" t="n">
        <v>38.38</v>
      </c>
      <c r="H15" s="4" t="n">
        <v>38.84</v>
      </c>
      <c r="I15" s="4" t="n">
        <v>39.32</v>
      </c>
    </row>
    <row r="16">
      <c r="A16" s="9" t="n">
        <v>1900</v>
      </c>
      <c r="B16" s="4" t="n">
        <v>32.42</v>
      </c>
      <c r="C16" s="4" t="n">
        <v>35.29</v>
      </c>
      <c r="D16" s="4" t="n">
        <v>35.65</v>
      </c>
      <c r="E16" s="4" t="n">
        <v>35.65</v>
      </c>
      <c r="F16" s="4" t="n">
        <v>38.38</v>
      </c>
      <c r="G16" s="4" t="n">
        <v>38.38</v>
      </c>
      <c r="H16" s="4" t="n">
        <v>38.84</v>
      </c>
      <c r="I16" s="4" t="n">
        <v>39.32</v>
      </c>
    </row>
    <row r="17">
      <c r="A17" s="9" t="n">
        <v>2000</v>
      </c>
      <c r="B17" s="4" t="n">
        <v>32.42</v>
      </c>
      <c r="C17" s="4" t="n">
        <v>35.29</v>
      </c>
      <c r="D17" s="4" t="n">
        <v>35.65</v>
      </c>
      <c r="E17" s="4" t="n">
        <v>35.65</v>
      </c>
      <c r="F17" s="4" t="n">
        <v>38.38</v>
      </c>
      <c r="G17" s="4" t="n">
        <v>38.38</v>
      </c>
      <c r="H17" s="4" t="n">
        <v>38.84</v>
      </c>
      <c r="I17" s="4" t="n">
        <v>39.32</v>
      </c>
    </row>
    <row r="20">
      <c r="A20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2026-09-14T14:36:54Z</dcterms:created>
  <dcterms:modified xsi:type="dcterms:W3CDTF">2026-09-14T14:36:54Z</dcterms:modified>
</cp:coreProperties>
</file>