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LISTINO — FINESTRA 2 ANTE (2A75)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  <c r="M2" s="3" t="n">
        <v>1900</v>
      </c>
      <c r="N2" s="3" t="n">
        <v>2000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Griglia!M2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Griglia!N2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Griglia!M3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Griglia!N3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Griglia!M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Griglia!N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Griglia!M5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Griglia!N5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Griglia!M6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Griglia!N6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Griglia!M7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Griglia!N7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Griglia!M8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Griglia!N8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Griglia!M9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Griglia!N9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Griglia!M10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Griglia!N10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Griglia!J11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Griglia!K11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Griglia!L11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Griglia!M11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Griglia!N11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Griglia!J12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Griglia!K12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Griglia!L12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Griglia!M12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Griglia!N12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Griglia!J13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Griglia!K13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Griglia!L13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Griglia!M13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Griglia!N13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Griglia!J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Griglia!K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Griglia!L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Griglia!M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Griglia!N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Griglia!J15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Griglia!K15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Griglia!L15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Griglia!M15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Griglia!N15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Griglia!J16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Griglia!K16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Griglia!L16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Griglia!M16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Griglia!N16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Griglia!J17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Griglia!K17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Griglia!L17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Griglia!M17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Griglia!N17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800</v>
      </c>
      <c r="C22" s="3" t="n">
        <v>900</v>
      </c>
      <c r="D22" s="3" t="n">
        <v>1000</v>
      </c>
      <c r="E22" s="3" t="n">
        <v>1100</v>
      </c>
      <c r="F22" s="3" t="n">
        <v>1200</v>
      </c>
      <c r="G22" s="3" t="n">
        <v>1300</v>
      </c>
      <c r="H22" s="3" t="n">
        <v>1400</v>
      </c>
      <c r="I22" s="3" t="n">
        <v>1500</v>
      </c>
      <c r="J22" s="3" t="n">
        <v>1600</v>
      </c>
      <c r="K22" s="3" t="n">
        <v>1700</v>
      </c>
      <c r="L22" s="3" t="n">
        <v>1800</v>
      </c>
      <c r="M22" s="3" t="n">
        <v>1900</v>
      </c>
      <c r="N22" s="3" t="n">
        <v>2000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Griglia!B2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Griglia!C2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Griglia!D2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Griglia!E2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Griglia!F2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Griglia!G2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Griglia!H2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Griglia!I2+Coefficienti!$B$11*Parametri!$B$6,2)</f>
        <v/>
      </c>
      <c r="J23" s="4">
        <f>ROUND((((Coefficienti!$B$1+Coefficienti!$B$2*J$22+Coefficienti!$B$3*$A23)*Parametri!$B$1+(Coefficienti!$B$4+Coefficienti!$B$5*J$22+Coefficienti!$B$6*$A23)*Parametri!$B$2)*(1-Parametri!$B$3)+((Coefficienti!$B$7+Coefficienti!$B$8*J$22+Coefficienti!$B$9*$A23)+Coefficienti!$B$10)*(1-Parametri!$B$4))*(1+Parametri!$B$5)+FerrGriglia!J2+Coefficienti!$B$11*Parametri!$B$6,2)</f>
        <v/>
      </c>
      <c r="K23" s="4">
        <f>ROUND((((Coefficienti!$B$1+Coefficienti!$B$2*K$22+Coefficienti!$B$3*$A23)*Parametri!$B$1+(Coefficienti!$B$4+Coefficienti!$B$5*K$22+Coefficienti!$B$6*$A23)*Parametri!$B$2)*(1-Parametri!$B$3)+((Coefficienti!$B$7+Coefficienti!$B$8*K$22+Coefficienti!$B$9*$A23)+Coefficienti!$B$10)*(1-Parametri!$B$4))*(1+Parametri!$B$5)+FerrGriglia!K2+Coefficienti!$B$11*Parametri!$B$6,2)</f>
        <v/>
      </c>
      <c r="L23" s="4">
        <f>ROUND((((Coefficienti!$B$1+Coefficienti!$B$2*L$22+Coefficienti!$B$3*$A23)*Parametri!$B$1+(Coefficienti!$B$4+Coefficienti!$B$5*L$22+Coefficienti!$B$6*$A23)*Parametri!$B$2)*(1-Parametri!$B$3)+((Coefficienti!$B$7+Coefficienti!$B$8*L$22+Coefficienti!$B$9*$A23)+Coefficienti!$B$10)*(1-Parametri!$B$4))*(1+Parametri!$B$5)+FerrGriglia!L2+Coefficienti!$B$11*Parametri!$B$6,2)</f>
        <v/>
      </c>
      <c r="M23" s="4">
        <f>ROUND((((Coefficienti!$B$1+Coefficienti!$B$2*M$22+Coefficienti!$B$3*$A23)*Parametri!$B$1+(Coefficienti!$B$4+Coefficienti!$B$5*M$22+Coefficienti!$B$6*$A23)*Parametri!$B$2)*(1-Parametri!$B$3)+((Coefficienti!$B$7+Coefficienti!$B$8*M$22+Coefficienti!$B$9*$A23)+Coefficienti!$B$10)*(1-Parametri!$B$4))*(1+Parametri!$B$5)+FerrGriglia!M2+Coefficienti!$B$11*Parametri!$B$6,2)</f>
        <v/>
      </c>
      <c r="N23" s="4">
        <f>ROUND((((Coefficienti!$B$1+Coefficienti!$B$2*N$22+Coefficienti!$B$3*$A23)*Parametri!$B$1+(Coefficienti!$B$4+Coefficienti!$B$5*N$22+Coefficienti!$B$6*$A23)*Parametri!$B$2)*(1-Parametri!$B$3)+((Coefficienti!$B$7+Coefficienti!$B$8*N$22+Coefficienti!$B$9*$A23)+Coefficienti!$B$10)*(1-Parametri!$B$4))*(1+Parametri!$B$5)+FerrGriglia!N2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Griglia!B3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Griglia!C3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Griglia!D3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Griglia!E3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Griglia!F3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Griglia!G3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Griglia!H3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Griglia!I3+Coefficienti!$B$11*Parametri!$B$6,2)</f>
        <v/>
      </c>
      <c r="J24" s="4">
        <f>ROUND((((Coefficienti!$B$1+Coefficienti!$B$2*J$22+Coefficienti!$B$3*$A24)*Parametri!$B$1+(Coefficienti!$B$4+Coefficienti!$B$5*J$22+Coefficienti!$B$6*$A24)*Parametri!$B$2)*(1-Parametri!$B$3)+((Coefficienti!$B$7+Coefficienti!$B$8*J$22+Coefficienti!$B$9*$A24)+Coefficienti!$B$10)*(1-Parametri!$B$4))*(1+Parametri!$B$5)+FerrGriglia!J3+Coefficienti!$B$11*Parametri!$B$6,2)</f>
        <v/>
      </c>
      <c r="K24" s="4">
        <f>ROUND((((Coefficienti!$B$1+Coefficienti!$B$2*K$22+Coefficienti!$B$3*$A24)*Parametri!$B$1+(Coefficienti!$B$4+Coefficienti!$B$5*K$22+Coefficienti!$B$6*$A24)*Parametri!$B$2)*(1-Parametri!$B$3)+((Coefficienti!$B$7+Coefficienti!$B$8*K$22+Coefficienti!$B$9*$A24)+Coefficienti!$B$10)*(1-Parametri!$B$4))*(1+Parametri!$B$5)+FerrGriglia!K3+Coefficienti!$B$11*Parametri!$B$6,2)</f>
        <v/>
      </c>
      <c r="L24" s="4">
        <f>ROUND((((Coefficienti!$B$1+Coefficienti!$B$2*L$22+Coefficienti!$B$3*$A24)*Parametri!$B$1+(Coefficienti!$B$4+Coefficienti!$B$5*L$22+Coefficienti!$B$6*$A24)*Parametri!$B$2)*(1-Parametri!$B$3)+((Coefficienti!$B$7+Coefficienti!$B$8*L$22+Coefficienti!$B$9*$A24)+Coefficienti!$B$10)*(1-Parametri!$B$4))*(1+Parametri!$B$5)+FerrGriglia!L3+Coefficienti!$B$11*Parametri!$B$6,2)</f>
        <v/>
      </c>
      <c r="M24" s="4">
        <f>ROUND((((Coefficienti!$B$1+Coefficienti!$B$2*M$22+Coefficienti!$B$3*$A24)*Parametri!$B$1+(Coefficienti!$B$4+Coefficienti!$B$5*M$22+Coefficienti!$B$6*$A24)*Parametri!$B$2)*(1-Parametri!$B$3)+((Coefficienti!$B$7+Coefficienti!$B$8*M$22+Coefficienti!$B$9*$A24)+Coefficienti!$B$10)*(1-Parametri!$B$4))*(1+Parametri!$B$5)+FerrGriglia!M3+Coefficienti!$B$11*Parametri!$B$6,2)</f>
        <v/>
      </c>
      <c r="N24" s="4">
        <f>ROUND((((Coefficienti!$B$1+Coefficienti!$B$2*N$22+Coefficienti!$B$3*$A24)*Parametri!$B$1+(Coefficienti!$B$4+Coefficienti!$B$5*N$22+Coefficienti!$B$6*$A24)*Parametri!$B$2)*(1-Parametri!$B$3)+((Coefficienti!$B$7+Coefficienti!$B$8*N$22+Coefficienti!$B$9*$A24)+Coefficienti!$B$10)*(1-Parametri!$B$4))*(1+Parametri!$B$5)+FerrGriglia!N3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Griglia!B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Griglia!C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Griglia!D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Griglia!E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Griglia!F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Griglia!G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Griglia!H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Griglia!I4+Coefficienti!$B$11*Parametri!$B$6,2)</f>
        <v/>
      </c>
      <c r="J25" s="4">
        <f>ROUND((((Coefficienti!$B$1+Coefficienti!$B$2*J$22+Coefficienti!$B$3*$A25)*Parametri!$B$1+(Coefficienti!$B$4+Coefficienti!$B$5*J$22+Coefficienti!$B$6*$A25)*Parametri!$B$2)*(1-Parametri!$B$3)+((Coefficienti!$B$7+Coefficienti!$B$8*J$22+Coefficienti!$B$9*$A25)+Coefficienti!$B$10)*(1-Parametri!$B$4))*(1+Parametri!$B$5)+FerrGriglia!J4+Coefficienti!$B$11*Parametri!$B$6,2)</f>
        <v/>
      </c>
      <c r="K25" s="4">
        <f>ROUND((((Coefficienti!$B$1+Coefficienti!$B$2*K$22+Coefficienti!$B$3*$A25)*Parametri!$B$1+(Coefficienti!$B$4+Coefficienti!$B$5*K$22+Coefficienti!$B$6*$A25)*Parametri!$B$2)*(1-Parametri!$B$3)+((Coefficienti!$B$7+Coefficienti!$B$8*K$22+Coefficienti!$B$9*$A25)+Coefficienti!$B$10)*(1-Parametri!$B$4))*(1+Parametri!$B$5)+FerrGriglia!K4+Coefficienti!$B$11*Parametri!$B$6,2)</f>
        <v/>
      </c>
      <c r="L25" s="4">
        <f>ROUND((((Coefficienti!$B$1+Coefficienti!$B$2*L$22+Coefficienti!$B$3*$A25)*Parametri!$B$1+(Coefficienti!$B$4+Coefficienti!$B$5*L$22+Coefficienti!$B$6*$A25)*Parametri!$B$2)*(1-Parametri!$B$3)+((Coefficienti!$B$7+Coefficienti!$B$8*L$22+Coefficienti!$B$9*$A25)+Coefficienti!$B$10)*(1-Parametri!$B$4))*(1+Parametri!$B$5)+FerrGriglia!L4+Coefficienti!$B$11*Parametri!$B$6,2)</f>
        <v/>
      </c>
      <c r="M25" s="4">
        <f>ROUND((((Coefficienti!$B$1+Coefficienti!$B$2*M$22+Coefficienti!$B$3*$A25)*Parametri!$B$1+(Coefficienti!$B$4+Coefficienti!$B$5*M$22+Coefficienti!$B$6*$A25)*Parametri!$B$2)*(1-Parametri!$B$3)+((Coefficienti!$B$7+Coefficienti!$B$8*M$22+Coefficienti!$B$9*$A25)+Coefficienti!$B$10)*(1-Parametri!$B$4))*(1+Parametri!$B$5)+FerrGriglia!M4+Coefficienti!$B$11*Parametri!$B$6,2)</f>
        <v/>
      </c>
      <c r="N25" s="4">
        <f>ROUND((((Coefficienti!$B$1+Coefficienti!$B$2*N$22+Coefficienti!$B$3*$A25)*Parametri!$B$1+(Coefficienti!$B$4+Coefficienti!$B$5*N$22+Coefficienti!$B$6*$A25)*Parametri!$B$2)*(1-Parametri!$B$3)+((Coefficienti!$B$7+Coefficienti!$B$8*N$22+Coefficienti!$B$9*$A25)+Coefficienti!$B$10)*(1-Parametri!$B$4))*(1+Parametri!$B$5)+FerrGriglia!N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Griglia!B5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Griglia!C5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Griglia!D5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Griglia!E5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Griglia!F5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Griglia!G5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Griglia!H5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Griglia!I5+Coefficienti!$B$11*Parametri!$B$6,2)</f>
        <v/>
      </c>
      <c r="J26" s="4">
        <f>ROUND((((Coefficienti!$B$1+Coefficienti!$B$2*J$22+Coefficienti!$B$3*$A26)*Parametri!$B$1+(Coefficienti!$B$4+Coefficienti!$B$5*J$22+Coefficienti!$B$6*$A26)*Parametri!$B$2)*(1-Parametri!$B$3)+((Coefficienti!$B$7+Coefficienti!$B$8*J$22+Coefficienti!$B$9*$A26)+Coefficienti!$B$10)*(1-Parametri!$B$4))*(1+Parametri!$B$5)+FerrGriglia!J5+Coefficienti!$B$11*Parametri!$B$6,2)</f>
        <v/>
      </c>
      <c r="K26" s="4">
        <f>ROUND((((Coefficienti!$B$1+Coefficienti!$B$2*K$22+Coefficienti!$B$3*$A26)*Parametri!$B$1+(Coefficienti!$B$4+Coefficienti!$B$5*K$22+Coefficienti!$B$6*$A26)*Parametri!$B$2)*(1-Parametri!$B$3)+((Coefficienti!$B$7+Coefficienti!$B$8*K$22+Coefficienti!$B$9*$A26)+Coefficienti!$B$10)*(1-Parametri!$B$4))*(1+Parametri!$B$5)+FerrGriglia!K5+Coefficienti!$B$11*Parametri!$B$6,2)</f>
        <v/>
      </c>
      <c r="L26" s="4">
        <f>ROUND((((Coefficienti!$B$1+Coefficienti!$B$2*L$22+Coefficienti!$B$3*$A26)*Parametri!$B$1+(Coefficienti!$B$4+Coefficienti!$B$5*L$22+Coefficienti!$B$6*$A26)*Parametri!$B$2)*(1-Parametri!$B$3)+((Coefficienti!$B$7+Coefficienti!$B$8*L$22+Coefficienti!$B$9*$A26)+Coefficienti!$B$10)*(1-Parametri!$B$4))*(1+Parametri!$B$5)+FerrGriglia!L5+Coefficienti!$B$11*Parametri!$B$6,2)</f>
        <v/>
      </c>
      <c r="M26" s="4">
        <f>ROUND((((Coefficienti!$B$1+Coefficienti!$B$2*M$22+Coefficienti!$B$3*$A26)*Parametri!$B$1+(Coefficienti!$B$4+Coefficienti!$B$5*M$22+Coefficienti!$B$6*$A26)*Parametri!$B$2)*(1-Parametri!$B$3)+((Coefficienti!$B$7+Coefficienti!$B$8*M$22+Coefficienti!$B$9*$A26)+Coefficienti!$B$10)*(1-Parametri!$B$4))*(1+Parametri!$B$5)+FerrGriglia!M5+Coefficienti!$B$11*Parametri!$B$6,2)</f>
        <v/>
      </c>
      <c r="N26" s="4">
        <f>ROUND((((Coefficienti!$B$1+Coefficienti!$B$2*N$22+Coefficienti!$B$3*$A26)*Parametri!$B$1+(Coefficienti!$B$4+Coefficienti!$B$5*N$22+Coefficienti!$B$6*$A26)*Parametri!$B$2)*(1-Parametri!$B$3)+((Coefficienti!$B$7+Coefficienti!$B$8*N$22+Coefficienti!$B$9*$A26)+Coefficienti!$B$10)*(1-Parametri!$B$4))*(1+Parametri!$B$5)+FerrGriglia!N5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Griglia!B6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Griglia!C6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Griglia!D6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Griglia!E6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Griglia!F6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Griglia!G6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Griglia!H6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Griglia!I6+Coefficienti!$B$11*Parametri!$B$6,2)</f>
        <v/>
      </c>
      <c r="J27" s="4">
        <f>ROUND((((Coefficienti!$B$1+Coefficienti!$B$2*J$22+Coefficienti!$B$3*$A27)*Parametri!$B$1+(Coefficienti!$B$4+Coefficienti!$B$5*J$22+Coefficienti!$B$6*$A27)*Parametri!$B$2)*(1-Parametri!$B$3)+((Coefficienti!$B$7+Coefficienti!$B$8*J$22+Coefficienti!$B$9*$A27)+Coefficienti!$B$10)*(1-Parametri!$B$4))*(1+Parametri!$B$5)+FerrGriglia!J6+Coefficienti!$B$11*Parametri!$B$6,2)</f>
        <v/>
      </c>
      <c r="K27" s="4">
        <f>ROUND((((Coefficienti!$B$1+Coefficienti!$B$2*K$22+Coefficienti!$B$3*$A27)*Parametri!$B$1+(Coefficienti!$B$4+Coefficienti!$B$5*K$22+Coefficienti!$B$6*$A27)*Parametri!$B$2)*(1-Parametri!$B$3)+((Coefficienti!$B$7+Coefficienti!$B$8*K$22+Coefficienti!$B$9*$A27)+Coefficienti!$B$10)*(1-Parametri!$B$4))*(1+Parametri!$B$5)+FerrGriglia!K6+Coefficienti!$B$11*Parametri!$B$6,2)</f>
        <v/>
      </c>
      <c r="L27" s="4">
        <f>ROUND((((Coefficienti!$B$1+Coefficienti!$B$2*L$22+Coefficienti!$B$3*$A27)*Parametri!$B$1+(Coefficienti!$B$4+Coefficienti!$B$5*L$22+Coefficienti!$B$6*$A27)*Parametri!$B$2)*(1-Parametri!$B$3)+((Coefficienti!$B$7+Coefficienti!$B$8*L$22+Coefficienti!$B$9*$A27)+Coefficienti!$B$10)*(1-Parametri!$B$4))*(1+Parametri!$B$5)+FerrGriglia!L6+Coefficienti!$B$11*Parametri!$B$6,2)</f>
        <v/>
      </c>
      <c r="M27" s="4">
        <f>ROUND((((Coefficienti!$B$1+Coefficienti!$B$2*M$22+Coefficienti!$B$3*$A27)*Parametri!$B$1+(Coefficienti!$B$4+Coefficienti!$B$5*M$22+Coefficienti!$B$6*$A27)*Parametri!$B$2)*(1-Parametri!$B$3)+((Coefficienti!$B$7+Coefficienti!$B$8*M$22+Coefficienti!$B$9*$A27)+Coefficienti!$B$10)*(1-Parametri!$B$4))*(1+Parametri!$B$5)+FerrGriglia!M6+Coefficienti!$B$11*Parametri!$B$6,2)</f>
        <v/>
      </c>
      <c r="N27" s="4">
        <f>ROUND((((Coefficienti!$B$1+Coefficienti!$B$2*N$22+Coefficienti!$B$3*$A27)*Parametri!$B$1+(Coefficienti!$B$4+Coefficienti!$B$5*N$22+Coefficienti!$B$6*$A27)*Parametri!$B$2)*(1-Parametri!$B$3)+((Coefficienti!$B$7+Coefficienti!$B$8*N$22+Coefficienti!$B$9*$A27)+Coefficienti!$B$10)*(1-Parametri!$B$4))*(1+Parametri!$B$5)+FerrGriglia!N6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Griglia!B7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Griglia!C7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Griglia!D7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Griglia!E7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Griglia!F7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Griglia!G7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Griglia!H7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Griglia!I7+Coefficienti!$B$11*Parametri!$B$6,2)</f>
        <v/>
      </c>
      <c r="J28" s="4">
        <f>ROUND((((Coefficienti!$B$1+Coefficienti!$B$2*J$22+Coefficienti!$B$3*$A28)*Parametri!$B$1+(Coefficienti!$B$4+Coefficienti!$B$5*J$22+Coefficienti!$B$6*$A28)*Parametri!$B$2)*(1-Parametri!$B$3)+((Coefficienti!$B$7+Coefficienti!$B$8*J$22+Coefficienti!$B$9*$A28)+Coefficienti!$B$10)*(1-Parametri!$B$4))*(1+Parametri!$B$5)+FerrGriglia!J7+Coefficienti!$B$11*Parametri!$B$6,2)</f>
        <v/>
      </c>
      <c r="K28" s="4">
        <f>ROUND((((Coefficienti!$B$1+Coefficienti!$B$2*K$22+Coefficienti!$B$3*$A28)*Parametri!$B$1+(Coefficienti!$B$4+Coefficienti!$B$5*K$22+Coefficienti!$B$6*$A28)*Parametri!$B$2)*(1-Parametri!$B$3)+((Coefficienti!$B$7+Coefficienti!$B$8*K$22+Coefficienti!$B$9*$A28)+Coefficienti!$B$10)*(1-Parametri!$B$4))*(1+Parametri!$B$5)+FerrGriglia!K7+Coefficienti!$B$11*Parametri!$B$6,2)</f>
        <v/>
      </c>
      <c r="L28" s="4">
        <f>ROUND((((Coefficienti!$B$1+Coefficienti!$B$2*L$22+Coefficienti!$B$3*$A28)*Parametri!$B$1+(Coefficienti!$B$4+Coefficienti!$B$5*L$22+Coefficienti!$B$6*$A28)*Parametri!$B$2)*(1-Parametri!$B$3)+((Coefficienti!$B$7+Coefficienti!$B$8*L$22+Coefficienti!$B$9*$A28)+Coefficienti!$B$10)*(1-Parametri!$B$4))*(1+Parametri!$B$5)+FerrGriglia!L7+Coefficienti!$B$11*Parametri!$B$6,2)</f>
        <v/>
      </c>
      <c r="M28" s="4">
        <f>ROUND((((Coefficienti!$B$1+Coefficienti!$B$2*M$22+Coefficienti!$B$3*$A28)*Parametri!$B$1+(Coefficienti!$B$4+Coefficienti!$B$5*M$22+Coefficienti!$B$6*$A28)*Parametri!$B$2)*(1-Parametri!$B$3)+((Coefficienti!$B$7+Coefficienti!$B$8*M$22+Coefficienti!$B$9*$A28)+Coefficienti!$B$10)*(1-Parametri!$B$4))*(1+Parametri!$B$5)+FerrGriglia!M7+Coefficienti!$B$11*Parametri!$B$6,2)</f>
        <v/>
      </c>
      <c r="N28" s="4">
        <f>ROUND((((Coefficienti!$B$1+Coefficienti!$B$2*N$22+Coefficienti!$B$3*$A28)*Parametri!$B$1+(Coefficienti!$B$4+Coefficienti!$B$5*N$22+Coefficienti!$B$6*$A28)*Parametri!$B$2)*(1-Parametri!$B$3)+((Coefficienti!$B$7+Coefficienti!$B$8*N$22+Coefficienti!$B$9*$A28)+Coefficienti!$B$10)*(1-Parametri!$B$4))*(1+Parametri!$B$5)+FerrGriglia!N7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Griglia!B8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Griglia!C8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Griglia!D8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Griglia!E8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Griglia!F8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Griglia!G8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Griglia!H8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Griglia!I8+Coefficienti!$B$11*Parametri!$B$6,2)</f>
        <v/>
      </c>
      <c r="J29" s="4">
        <f>ROUND((((Coefficienti!$B$1+Coefficienti!$B$2*J$22+Coefficienti!$B$3*$A29)*Parametri!$B$1+(Coefficienti!$B$4+Coefficienti!$B$5*J$22+Coefficienti!$B$6*$A29)*Parametri!$B$2)*(1-Parametri!$B$3)+((Coefficienti!$B$7+Coefficienti!$B$8*J$22+Coefficienti!$B$9*$A29)+Coefficienti!$B$10)*(1-Parametri!$B$4))*(1+Parametri!$B$5)+FerrGriglia!J8+Coefficienti!$B$11*Parametri!$B$6,2)</f>
        <v/>
      </c>
      <c r="K29" s="4">
        <f>ROUND((((Coefficienti!$B$1+Coefficienti!$B$2*K$22+Coefficienti!$B$3*$A29)*Parametri!$B$1+(Coefficienti!$B$4+Coefficienti!$B$5*K$22+Coefficienti!$B$6*$A29)*Parametri!$B$2)*(1-Parametri!$B$3)+((Coefficienti!$B$7+Coefficienti!$B$8*K$22+Coefficienti!$B$9*$A29)+Coefficienti!$B$10)*(1-Parametri!$B$4))*(1+Parametri!$B$5)+FerrGriglia!K8+Coefficienti!$B$11*Parametri!$B$6,2)</f>
        <v/>
      </c>
      <c r="L29" s="4">
        <f>ROUND((((Coefficienti!$B$1+Coefficienti!$B$2*L$22+Coefficienti!$B$3*$A29)*Parametri!$B$1+(Coefficienti!$B$4+Coefficienti!$B$5*L$22+Coefficienti!$B$6*$A29)*Parametri!$B$2)*(1-Parametri!$B$3)+((Coefficienti!$B$7+Coefficienti!$B$8*L$22+Coefficienti!$B$9*$A29)+Coefficienti!$B$10)*(1-Parametri!$B$4))*(1+Parametri!$B$5)+FerrGriglia!L8+Coefficienti!$B$11*Parametri!$B$6,2)</f>
        <v/>
      </c>
      <c r="M29" s="4">
        <f>ROUND((((Coefficienti!$B$1+Coefficienti!$B$2*M$22+Coefficienti!$B$3*$A29)*Parametri!$B$1+(Coefficienti!$B$4+Coefficienti!$B$5*M$22+Coefficienti!$B$6*$A29)*Parametri!$B$2)*(1-Parametri!$B$3)+((Coefficienti!$B$7+Coefficienti!$B$8*M$22+Coefficienti!$B$9*$A29)+Coefficienti!$B$10)*(1-Parametri!$B$4))*(1+Parametri!$B$5)+FerrGriglia!M8+Coefficienti!$B$11*Parametri!$B$6,2)</f>
        <v/>
      </c>
      <c r="N29" s="4">
        <f>ROUND((((Coefficienti!$B$1+Coefficienti!$B$2*N$22+Coefficienti!$B$3*$A29)*Parametri!$B$1+(Coefficienti!$B$4+Coefficienti!$B$5*N$22+Coefficienti!$B$6*$A29)*Parametri!$B$2)*(1-Parametri!$B$3)+((Coefficienti!$B$7+Coefficienti!$B$8*N$22+Coefficienti!$B$9*$A29)+Coefficienti!$B$10)*(1-Parametri!$B$4))*(1+Parametri!$B$5)+FerrGriglia!N8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Griglia!B9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Griglia!C9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Griglia!D9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Griglia!E9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Griglia!F9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Griglia!G9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Griglia!H9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Griglia!I9+Coefficienti!$B$11*Parametri!$B$6,2)</f>
        <v/>
      </c>
      <c r="J30" s="4">
        <f>ROUND((((Coefficienti!$B$1+Coefficienti!$B$2*J$22+Coefficienti!$B$3*$A30)*Parametri!$B$1+(Coefficienti!$B$4+Coefficienti!$B$5*J$22+Coefficienti!$B$6*$A30)*Parametri!$B$2)*(1-Parametri!$B$3)+((Coefficienti!$B$7+Coefficienti!$B$8*J$22+Coefficienti!$B$9*$A30)+Coefficienti!$B$10)*(1-Parametri!$B$4))*(1+Parametri!$B$5)+FerrGriglia!J9+Coefficienti!$B$11*Parametri!$B$6,2)</f>
        <v/>
      </c>
      <c r="K30" s="4">
        <f>ROUND((((Coefficienti!$B$1+Coefficienti!$B$2*K$22+Coefficienti!$B$3*$A30)*Parametri!$B$1+(Coefficienti!$B$4+Coefficienti!$B$5*K$22+Coefficienti!$B$6*$A30)*Parametri!$B$2)*(1-Parametri!$B$3)+((Coefficienti!$B$7+Coefficienti!$B$8*K$22+Coefficienti!$B$9*$A30)+Coefficienti!$B$10)*(1-Parametri!$B$4))*(1+Parametri!$B$5)+FerrGriglia!K9+Coefficienti!$B$11*Parametri!$B$6,2)</f>
        <v/>
      </c>
      <c r="L30" s="4">
        <f>ROUND((((Coefficienti!$B$1+Coefficienti!$B$2*L$22+Coefficienti!$B$3*$A30)*Parametri!$B$1+(Coefficienti!$B$4+Coefficienti!$B$5*L$22+Coefficienti!$B$6*$A30)*Parametri!$B$2)*(1-Parametri!$B$3)+((Coefficienti!$B$7+Coefficienti!$B$8*L$22+Coefficienti!$B$9*$A30)+Coefficienti!$B$10)*(1-Parametri!$B$4))*(1+Parametri!$B$5)+FerrGriglia!L9+Coefficienti!$B$11*Parametri!$B$6,2)</f>
        <v/>
      </c>
      <c r="M30" s="4">
        <f>ROUND((((Coefficienti!$B$1+Coefficienti!$B$2*M$22+Coefficienti!$B$3*$A30)*Parametri!$B$1+(Coefficienti!$B$4+Coefficienti!$B$5*M$22+Coefficienti!$B$6*$A30)*Parametri!$B$2)*(1-Parametri!$B$3)+((Coefficienti!$B$7+Coefficienti!$B$8*M$22+Coefficienti!$B$9*$A30)+Coefficienti!$B$10)*(1-Parametri!$B$4))*(1+Parametri!$B$5)+FerrGriglia!M9+Coefficienti!$B$11*Parametri!$B$6,2)</f>
        <v/>
      </c>
      <c r="N30" s="4">
        <f>ROUND((((Coefficienti!$B$1+Coefficienti!$B$2*N$22+Coefficienti!$B$3*$A30)*Parametri!$B$1+(Coefficienti!$B$4+Coefficienti!$B$5*N$22+Coefficienti!$B$6*$A30)*Parametri!$B$2)*(1-Parametri!$B$3)+((Coefficienti!$B$7+Coefficienti!$B$8*N$22+Coefficienti!$B$9*$A30)+Coefficienti!$B$10)*(1-Parametri!$B$4))*(1+Parametri!$B$5)+FerrGriglia!N9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Griglia!B10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Griglia!C10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Griglia!D10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Griglia!E10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Griglia!F10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Griglia!G10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Griglia!H10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Griglia!I10+Coefficienti!$B$11*Parametri!$B$6,2)</f>
        <v/>
      </c>
      <c r="J31" s="4">
        <f>ROUND((((Coefficienti!$B$1+Coefficienti!$B$2*J$22+Coefficienti!$B$3*$A31)*Parametri!$B$1+(Coefficienti!$B$4+Coefficienti!$B$5*J$22+Coefficienti!$B$6*$A31)*Parametri!$B$2)*(1-Parametri!$B$3)+((Coefficienti!$B$7+Coefficienti!$B$8*J$22+Coefficienti!$B$9*$A31)+Coefficienti!$B$10)*(1-Parametri!$B$4))*(1+Parametri!$B$5)+FerrGriglia!J10+Coefficienti!$B$11*Parametri!$B$6,2)</f>
        <v/>
      </c>
      <c r="K31" s="4">
        <f>ROUND((((Coefficienti!$B$1+Coefficienti!$B$2*K$22+Coefficienti!$B$3*$A31)*Parametri!$B$1+(Coefficienti!$B$4+Coefficienti!$B$5*K$22+Coefficienti!$B$6*$A31)*Parametri!$B$2)*(1-Parametri!$B$3)+((Coefficienti!$B$7+Coefficienti!$B$8*K$22+Coefficienti!$B$9*$A31)+Coefficienti!$B$10)*(1-Parametri!$B$4))*(1+Parametri!$B$5)+FerrGriglia!K10+Coefficienti!$B$11*Parametri!$B$6,2)</f>
        <v/>
      </c>
      <c r="L31" s="4">
        <f>ROUND((((Coefficienti!$B$1+Coefficienti!$B$2*L$22+Coefficienti!$B$3*$A31)*Parametri!$B$1+(Coefficienti!$B$4+Coefficienti!$B$5*L$22+Coefficienti!$B$6*$A31)*Parametri!$B$2)*(1-Parametri!$B$3)+((Coefficienti!$B$7+Coefficienti!$B$8*L$22+Coefficienti!$B$9*$A31)+Coefficienti!$B$10)*(1-Parametri!$B$4))*(1+Parametri!$B$5)+FerrGriglia!L10+Coefficienti!$B$11*Parametri!$B$6,2)</f>
        <v/>
      </c>
      <c r="M31" s="4">
        <f>ROUND((((Coefficienti!$B$1+Coefficienti!$B$2*M$22+Coefficienti!$B$3*$A31)*Parametri!$B$1+(Coefficienti!$B$4+Coefficienti!$B$5*M$22+Coefficienti!$B$6*$A31)*Parametri!$B$2)*(1-Parametri!$B$3)+((Coefficienti!$B$7+Coefficienti!$B$8*M$22+Coefficienti!$B$9*$A31)+Coefficienti!$B$10)*(1-Parametri!$B$4))*(1+Parametri!$B$5)+FerrGriglia!M10+Coefficienti!$B$11*Parametri!$B$6,2)</f>
        <v/>
      </c>
      <c r="N31" s="4">
        <f>ROUND((((Coefficienti!$B$1+Coefficienti!$B$2*N$22+Coefficienti!$B$3*$A31)*Parametri!$B$1+(Coefficienti!$B$4+Coefficienti!$B$5*N$22+Coefficienti!$B$6*$A31)*Parametri!$B$2)*(1-Parametri!$B$3)+((Coefficienti!$B$7+Coefficienti!$B$8*N$22+Coefficienti!$B$9*$A31)+Coefficienti!$B$10)*(1-Parametri!$B$4))*(1+Parametri!$B$5)+FerrGriglia!N10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Griglia!B11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Griglia!C11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Griglia!D11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Griglia!E11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Griglia!F11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Griglia!G11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Griglia!H11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Griglia!I11+Coefficienti!$B$11*Parametri!$B$6,2)</f>
        <v/>
      </c>
      <c r="J32" s="4">
        <f>ROUND((((Coefficienti!$B$1+Coefficienti!$B$2*J$22+Coefficienti!$B$3*$A32)*Parametri!$B$1+(Coefficienti!$B$4+Coefficienti!$B$5*J$22+Coefficienti!$B$6*$A32)*Parametri!$B$2)*(1-Parametri!$B$3)+((Coefficienti!$B$7+Coefficienti!$B$8*J$22+Coefficienti!$B$9*$A32)+Coefficienti!$B$10)*(1-Parametri!$B$4))*(1+Parametri!$B$5)+FerrGriglia!J11+Coefficienti!$B$11*Parametri!$B$6,2)</f>
        <v/>
      </c>
      <c r="K32" s="4">
        <f>ROUND((((Coefficienti!$B$1+Coefficienti!$B$2*K$22+Coefficienti!$B$3*$A32)*Parametri!$B$1+(Coefficienti!$B$4+Coefficienti!$B$5*K$22+Coefficienti!$B$6*$A32)*Parametri!$B$2)*(1-Parametri!$B$3)+((Coefficienti!$B$7+Coefficienti!$B$8*K$22+Coefficienti!$B$9*$A32)+Coefficienti!$B$10)*(1-Parametri!$B$4))*(1+Parametri!$B$5)+FerrGriglia!K11+Coefficienti!$B$11*Parametri!$B$6,2)</f>
        <v/>
      </c>
      <c r="L32" s="4">
        <f>ROUND((((Coefficienti!$B$1+Coefficienti!$B$2*L$22+Coefficienti!$B$3*$A32)*Parametri!$B$1+(Coefficienti!$B$4+Coefficienti!$B$5*L$22+Coefficienti!$B$6*$A32)*Parametri!$B$2)*(1-Parametri!$B$3)+((Coefficienti!$B$7+Coefficienti!$B$8*L$22+Coefficienti!$B$9*$A32)+Coefficienti!$B$10)*(1-Parametri!$B$4))*(1+Parametri!$B$5)+FerrGriglia!L11+Coefficienti!$B$11*Parametri!$B$6,2)</f>
        <v/>
      </c>
      <c r="M32" s="4">
        <f>ROUND((((Coefficienti!$B$1+Coefficienti!$B$2*M$22+Coefficienti!$B$3*$A32)*Parametri!$B$1+(Coefficienti!$B$4+Coefficienti!$B$5*M$22+Coefficienti!$B$6*$A32)*Parametri!$B$2)*(1-Parametri!$B$3)+((Coefficienti!$B$7+Coefficienti!$B$8*M$22+Coefficienti!$B$9*$A32)+Coefficienti!$B$10)*(1-Parametri!$B$4))*(1+Parametri!$B$5)+FerrGriglia!M11+Coefficienti!$B$11*Parametri!$B$6,2)</f>
        <v/>
      </c>
      <c r="N32" s="4">
        <f>ROUND((((Coefficienti!$B$1+Coefficienti!$B$2*N$22+Coefficienti!$B$3*$A32)*Parametri!$B$1+(Coefficienti!$B$4+Coefficienti!$B$5*N$22+Coefficienti!$B$6*$A32)*Parametri!$B$2)*(1-Parametri!$B$3)+((Coefficienti!$B$7+Coefficienti!$B$8*N$22+Coefficienti!$B$9*$A32)+Coefficienti!$B$10)*(1-Parametri!$B$4))*(1+Parametri!$B$5)+FerrGriglia!N11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Griglia!B12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Griglia!C12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Griglia!D12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Griglia!E12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Griglia!F12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Griglia!G12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Griglia!H12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Griglia!I12+Coefficienti!$B$11*Parametri!$B$6,2)</f>
        <v/>
      </c>
      <c r="J33" s="4">
        <f>ROUND((((Coefficienti!$B$1+Coefficienti!$B$2*J$22+Coefficienti!$B$3*$A33)*Parametri!$B$1+(Coefficienti!$B$4+Coefficienti!$B$5*J$22+Coefficienti!$B$6*$A33)*Parametri!$B$2)*(1-Parametri!$B$3)+((Coefficienti!$B$7+Coefficienti!$B$8*J$22+Coefficienti!$B$9*$A33)+Coefficienti!$B$10)*(1-Parametri!$B$4))*(1+Parametri!$B$5)+FerrGriglia!J12+Coefficienti!$B$11*Parametri!$B$6,2)</f>
        <v/>
      </c>
      <c r="K33" s="4">
        <f>ROUND((((Coefficienti!$B$1+Coefficienti!$B$2*K$22+Coefficienti!$B$3*$A33)*Parametri!$B$1+(Coefficienti!$B$4+Coefficienti!$B$5*K$22+Coefficienti!$B$6*$A33)*Parametri!$B$2)*(1-Parametri!$B$3)+((Coefficienti!$B$7+Coefficienti!$B$8*K$22+Coefficienti!$B$9*$A33)+Coefficienti!$B$10)*(1-Parametri!$B$4))*(1+Parametri!$B$5)+FerrGriglia!K12+Coefficienti!$B$11*Parametri!$B$6,2)</f>
        <v/>
      </c>
      <c r="L33" s="4">
        <f>ROUND((((Coefficienti!$B$1+Coefficienti!$B$2*L$22+Coefficienti!$B$3*$A33)*Parametri!$B$1+(Coefficienti!$B$4+Coefficienti!$B$5*L$22+Coefficienti!$B$6*$A33)*Parametri!$B$2)*(1-Parametri!$B$3)+((Coefficienti!$B$7+Coefficienti!$B$8*L$22+Coefficienti!$B$9*$A33)+Coefficienti!$B$10)*(1-Parametri!$B$4))*(1+Parametri!$B$5)+FerrGriglia!L12+Coefficienti!$B$11*Parametri!$B$6,2)</f>
        <v/>
      </c>
      <c r="M33" s="4">
        <f>ROUND((((Coefficienti!$B$1+Coefficienti!$B$2*M$22+Coefficienti!$B$3*$A33)*Parametri!$B$1+(Coefficienti!$B$4+Coefficienti!$B$5*M$22+Coefficienti!$B$6*$A33)*Parametri!$B$2)*(1-Parametri!$B$3)+((Coefficienti!$B$7+Coefficienti!$B$8*M$22+Coefficienti!$B$9*$A33)+Coefficienti!$B$10)*(1-Parametri!$B$4))*(1+Parametri!$B$5)+FerrGriglia!M12+Coefficienti!$B$11*Parametri!$B$6,2)</f>
        <v/>
      </c>
      <c r="N33" s="4">
        <f>ROUND((((Coefficienti!$B$1+Coefficienti!$B$2*N$22+Coefficienti!$B$3*$A33)*Parametri!$B$1+(Coefficienti!$B$4+Coefficienti!$B$5*N$22+Coefficienti!$B$6*$A33)*Parametri!$B$2)*(1-Parametri!$B$3)+((Coefficienti!$B$7+Coefficienti!$B$8*N$22+Coefficienti!$B$9*$A33)+Coefficienti!$B$10)*(1-Parametri!$B$4))*(1+Parametri!$B$5)+FerrGriglia!N12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Griglia!B13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Griglia!C13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Griglia!D13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Griglia!E13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Griglia!F13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Griglia!G13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Griglia!H13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Griglia!I13+Coefficienti!$B$11*Parametri!$B$6,2)</f>
        <v/>
      </c>
      <c r="J34" s="4">
        <f>ROUND((((Coefficienti!$B$1+Coefficienti!$B$2*J$22+Coefficienti!$B$3*$A34)*Parametri!$B$1+(Coefficienti!$B$4+Coefficienti!$B$5*J$22+Coefficienti!$B$6*$A34)*Parametri!$B$2)*(1-Parametri!$B$3)+((Coefficienti!$B$7+Coefficienti!$B$8*J$22+Coefficienti!$B$9*$A34)+Coefficienti!$B$10)*(1-Parametri!$B$4))*(1+Parametri!$B$5)+FerrGriglia!J13+Coefficienti!$B$11*Parametri!$B$6,2)</f>
        <v/>
      </c>
      <c r="K34" s="4">
        <f>ROUND((((Coefficienti!$B$1+Coefficienti!$B$2*K$22+Coefficienti!$B$3*$A34)*Parametri!$B$1+(Coefficienti!$B$4+Coefficienti!$B$5*K$22+Coefficienti!$B$6*$A34)*Parametri!$B$2)*(1-Parametri!$B$3)+((Coefficienti!$B$7+Coefficienti!$B$8*K$22+Coefficienti!$B$9*$A34)+Coefficienti!$B$10)*(1-Parametri!$B$4))*(1+Parametri!$B$5)+FerrGriglia!K13+Coefficienti!$B$11*Parametri!$B$6,2)</f>
        <v/>
      </c>
      <c r="L34" s="4">
        <f>ROUND((((Coefficienti!$B$1+Coefficienti!$B$2*L$22+Coefficienti!$B$3*$A34)*Parametri!$B$1+(Coefficienti!$B$4+Coefficienti!$B$5*L$22+Coefficienti!$B$6*$A34)*Parametri!$B$2)*(1-Parametri!$B$3)+((Coefficienti!$B$7+Coefficienti!$B$8*L$22+Coefficienti!$B$9*$A34)+Coefficienti!$B$10)*(1-Parametri!$B$4))*(1+Parametri!$B$5)+FerrGriglia!L13+Coefficienti!$B$11*Parametri!$B$6,2)</f>
        <v/>
      </c>
      <c r="M34" s="4">
        <f>ROUND((((Coefficienti!$B$1+Coefficienti!$B$2*M$22+Coefficienti!$B$3*$A34)*Parametri!$B$1+(Coefficienti!$B$4+Coefficienti!$B$5*M$22+Coefficienti!$B$6*$A34)*Parametri!$B$2)*(1-Parametri!$B$3)+((Coefficienti!$B$7+Coefficienti!$B$8*M$22+Coefficienti!$B$9*$A34)+Coefficienti!$B$10)*(1-Parametri!$B$4))*(1+Parametri!$B$5)+FerrGriglia!M13+Coefficienti!$B$11*Parametri!$B$6,2)</f>
        <v/>
      </c>
      <c r="N34" s="4">
        <f>ROUND((((Coefficienti!$B$1+Coefficienti!$B$2*N$22+Coefficienti!$B$3*$A34)*Parametri!$B$1+(Coefficienti!$B$4+Coefficienti!$B$5*N$22+Coefficienti!$B$6*$A34)*Parametri!$B$2)*(1-Parametri!$B$3)+((Coefficienti!$B$7+Coefficienti!$B$8*N$22+Coefficienti!$B$9*$A34)+Coefficienti!$B$10)*(1-Parametri!$B$4))*(1+Parametri!$B$5)+FerrGriglia!N13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Griglia!B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Griglia!C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Griglia!D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Griglia!E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Griglia!F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Griglia!G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Griglia!H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Griglia!I14+Coefficienti!$B$11*Parametri!$B$6,2)</f>
        <v/>
      </c>
      <c r="J35" s="4">
        <f>ROUND((((Coefficienti!$B$1+Coefficienti!$B$2*J$22+Coefficienti!$B$3*$A35)*Parametri!$B$1+(Coefficienti!$B$4+Coefficienti!$B$5*J$22+Coefficienti!$B$6*$A35)*Parametri!$B$2)*(1-Parametri!$B$3)+((Coefficienti!$B$7+Coefficienti!$B$8*J$22+Coefficienti!$B$9*$A35)+Coefficienti!$B$10)*(1-Parametri!$B$4))*(1+Parametri!$B$5)+FerrGriglia!J14+Coefficienti!$B$11*Parametri!$B$6,2)</f>
        <v/>
      </c>
      <c r="K35" s="4">
        <f>ROUND((((Coefficienti!$B$1+Coefficienti!$B$2*K$22+Coefficienti!$B$3*$A35)*Parametri!$B$1+(Coefficienti!$B$4+Coefficienti!$B$5*K$22+Coefficienti!$B$6*$A35)*Parametri!$B$2)*(1-Parametri!$B$3)+((Coefficienti!$B$7+Coefficienti!$B$8*K$22+Coefficienti!$B$9*$A35)+Coefficienti!$B$10)*(1-Parametri!$B$4))*(1+Parametri!$B$5)+FerrGriglia!K14+Coefficienti!$B$11*Parametri!$B$6,2)</f>
        <v/>
      </c>
      <c r="L35" s="4">
        <f>ROUND((((Coefficienti!$B$1+Coefficienti!$B$2*L$22+Coefficienti!$B$3*$A35)*Parametri!$B$1+(Coefficienti!$B$4+Coefficienti!$B$5*L$22+Coefficienti!$B$6*$A35)*Parametri!$B$2)*(1-Parametri!$B$3)+((Coefficienti!$B$7+Coefficienti!$B$8*L$22+Coefficienti!$B$9*$A35)+Coefficienti!$B$10)*(1-Parametri!$B$4))*(1+Parametri!$B$5)+FerrGriglia!L14+Coefficienti!$B$11*Parametri!$B$6,2)</f>
        <v/>
      </c>
      <c r="M35" s="4">
        <f>ROUND((((Coefficienti!$B$1+Coefficienti!$B$2*M$22+Coefficienti!$B$3*$A35)*Parametri!$B$1+(Coefficienti!$B$4+Coefficienti!$B$5*M$22+Coefficienti!$B$6*$A35)*Parametri!$B$2)*(1-Parametri!$B$3)+((Coefficienti!$B$7+Coefficienti!$B$8*M$22+Coefficienti!$B$9*$A35)+Coefficienti!$B$10)*(1-Parametri!$B$4))*(1+Parametri!$B$5)+FerrGriglia!M14+Coefficienti!$B$11*Parametri!$B$6,2)</f>
        <v/>
      </c>
      <c r="N35" s="4">
        <f>ROUND((((Coefficienti!$B$1+Coefficienti!$B$2*N$22+Coefficienti!$B$3*$A35)*Parametri!$B$1+(Coefficienti!$B$4+Coefficienti!$B$5*N$22+Coefficienti!$B$6*$A35)*Parametri!$B$2)*(1-Parametri!$B$3)+((Coefficienti!$B$7+Coefficienti!$B$8*N$22+Coefficienti!$B$9*$A35)+Coefficienti!$B$10)*(1-Parametri!$B$4))*(1+Parametri!$B$5)+FerrGriglia!N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Griglia!B15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Griglia!C15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Griglia!D15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Griglia!E15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Griglia!F15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Griglia!G15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Griglia!H15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Griglia!I15+Coefficienti!$B$11*Parametri!$B$6,2)</f>
        <v/>
      </c>
      <c r="J36" s="4">
        <f>ROUND((((Coefficienti!$B$1+Coefficienti!$B$2*J$22+Coefficienti!$B$3*$A36)*Parametri!$B$1+(Coefficienti!$B$4+Coefficienti!$B$5*J$22+Coefficienti!$B$6*$A36)*Parametri!$B$2)*(1-Parametri!$B$3)+((Coefficienti!$B$7+Coefficienti!$B$8*J$22+Coefficienti!$B$9*$A36)+Coefficienti!$B$10)*(1-Parametri!$B$4))*(1+Parametri!$B$5)+FerrGriglia!J15+Coefficienti!$B$11*Parametri!$B$6,2)</f>
        <v/>
      </c>
      <c r="K36" s="4">
        <f>ROUND((((Coefficienti!$B$1+Coefficienti!$B$2*K$22+Coefficienti!$B$3*$A36)*Parametri!$B$1+(Coefficienti!$B$4+Coefficienti!$B$5*K$22+Coefficienti!$B$6*$A36)*Parametri!$B$2)*(1-Parametri!$B$3)+((Coefficienti!$B$7+Coefficienti!$B$8*K$22+Coefficienti!$B$9*$A36)+Coefficienti!$B$10)*(1-Parametri!$B$4))*(1+Parametri!$B$5)+FerrGriglia!K15+Coefficienti!$B$11*Parametri!$B$6,2)</f>
        <v/>
      </c>
      <c r="L36" s="4">
        <f>ROUND((((Coefficienti!$B$1+Coefficienti!$B$2*L$22+Coefficienti!$B$3*$A36)*Parametri!$B$1+(Coefficienti!$B$4+Coefficienti!$B$5*L$22+Coefficienti!$B$6*$A36)*Parametri!$B$2)*(1-Parametri!$B$3)+((Coefficienti!$B$7+Coefficienti!$B$8*L$22+Coefficienti!$B$9*$A36)+Coefficienti!$B$10)*(1-Parametri!$B$4))*(1+Parametri!$B$5)+FerrGriglia!L15+Coefficienti!$B$11*Parametri!$B$6,2)</f>
        <v/>
      </c>
      <c r="M36" s="4">
        <f>ROUND((((Coefficienti!$B$1+Coefficienti!$B$2*M$22+Coefficienti!$B$3*$A36)*Parametri!$B$1+(Coefficienti!$B$4+Coefficienti!$B$5*M$22+Coefficienti!$B$6*$A36)*Parametri!$B$2)*(1-Parametri!$B$3)+((Coefficienti!$B$7+Coefficienti!$B$8*M$22+Coefficienti!$B$9*$A36)+Coefficienti!$B$10)*(1-Parametri!$B$4))*(1+Parametri!$B$5)+FerrGriglia!M15+Coefficienti!$B$11*Parametri!$B$6,2)</f>
        <v/>
      </c>
      <c r="N36" s="4">
        <f>ROUND((((Coefficienti!$B$1+Coefficienti!$B$2*N$22+Coefficienti!$B$3*$A36)*Parametri!$B$1+(Coefficienti!$B$4+Coefficienti!$B$5*N$22+Coefficienti!$B$6*$A36)*Parametri!$B$2)*(1-Parametri!$B$3)+((Coefficienti!$B$7+Coefficienti!$B$8*N$22+Coefficienti!$B$9*$A36)+Coefficienti!$B$10)*(1-Parametri!$B$4))*(1+Parametri!$B$5)+FerrGriglia!N15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Griglia!B16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Griglia!C16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Griglia!D16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Griglia!E16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Griglia!F16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Griglia!G16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Griglia!H16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Griglia!I16+Coefficienti!$B$11*Parametri!$B$6,2)</f>
        <v/>
      </c>
      <c r="J37" s="4">
        <f>ROUND((((Coefficienti!$B$1+Coefficienti!$B$2*J$22+Coefficienti!$B$3*$A37)*Parametri!$B$1+(Coefficienti!$B$4+Coefficienti!$B$5*J$22+Coefficienti!$B$6*$A37)*Parametri!$B$2)*(1-Parametri!$B$3)+((Coefficienti!$B$7+Coefficienti!$B$8*J$22+Coefficienti!$B$9*$A37)+Coefficienti!$B$10)*(1-Parametri!$B$4))*(1+Parametri!$B$5)+FerrGriglia!J16+Coefficienti!$B$11*Parametri!$B$6,2)</f>
        <v/>
      </c>
      <c r="K37" s="4">
        <f>ROUND((((Coefficienti!$B$1+Coefficienti!$B$2*K$22+Coefficienti!$B$3*$A37)*Parametri!$B$1+(Coefficienti!$B$4+Coefficienti!$B$5*K$22+Coefficienti!$B$6*$A37)*Parametri!$B$2)*(1-Parametri!$B$3)+((Coefficienti!$B$7+Coefficienti!$B$8*K$22+Coefficienti!$B$9*$A37)+Coefficienti!$B$10)*(1-Parametri!$B$4))*(1+Parametri!$B$5)+FerrGriglia!K16+Coefficienti!$B$11*Parametri!$B$6,2)</f>
        <v/>
      </c>
      <c r="L37" s="4">
        <f>ROUND((((Coefficienti!$B$1+Coefficienti!$B$2*L$22+Coefficienti!$B$3*$A37)*Parametri!$B$1+(Coefficienti!$B$4+Coefficienti!$B$5*L$22+Coefficienti!$B$6*$A37)*Parametri!$B$2)*(1-Parametri!$B$3)+((Coefficienti!$B$7+Coefficienti!$B$8*L$22+Coefficienti!$B$9*$A37)+Coefficienti!$B$10)*(1-Parametri!$B$4))*(1+Parametri!$B$5)+FerrGriglia!L16+Coefficienti!$B$11*Parametri!$B$6,2)</f>
        <v/>
      </c>
      <c r="M37" s="4">
        <f>ROUND((((Coefficienti!$B$1+Coefficienti!$B$2*M$22+Coefficienti!$B$3*$A37)*Parametri!$B$1+(Coefficienti!$B$4+Coefficienti!$B$5*M$22+Coefficienti!$B$6*$A37)*Parametri!$B$2)*(1-Parametri!$B$3)+((Coefficienti!$B$7+Coefficienti!$B$8*M$22+Coefficienti!$B$9*$A37)+Coefficienti!$B$10)*(1-Parametri!$B$4))*(1+Parametri!$B$5)+FerrGriglia!M16+Coefficienti!$B$11*Parametri!$B$6,2)</f>
        <v/>
      </c>
      <c r="N37" s="4">
        <f>ROUND((((Coefficienti!$B$1+Coefficienti!$B$2*N$22+Coefficienti!$B$3*$A37)*Parametri!$B$1+(Coefficienti!$B$4+Coefficienti!$B$5*N$22+Coefficienti!$B$6*$A37)*Parametri!$B$2)*(1-Parametri!$B$3)+((Coefficienti!$B$7+Coefficienti!$B$8*N$22+Coefficienti!$B$9*$A37)+Coefficienti!$B$10)*(1-Parametri!$B$4))*(1+Parametri!$B$5)+FerrGriglia!N16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Griglia!B17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Griglia!C17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Griglia!D17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Griglia!E17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Griglia!F17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Griglia!G17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Griglia!H17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Griglia!I17+Coefficienti!$B$11*Parametri!$B$6,2)</f>
        <v/>
      </c>
      <c r="J38" s="4">
        <f>ROUND((((Coefficienti!$B$1+Coefficienti!$B$2*J$22+Coefficienti!$B$3*$A38)*Parametri!$B$1+(Coefficienti!$B$4+Coefficienti!$B$5*J$22+Coefficienti!$B$6*$A38)*Parametri!$B$2)*(1-Parametri!$B$3)+((Coefficienti!$B$7+Coefficienti!$B$8*J$22+Coefficienti!$B$9*$A38)+Coefficienti!$B$10)*(1-Parametri!$B$4))*(1+Parametri!$B$5)+FerrGriglia!J17+Coefficienti!$B$11*Parametri!$B$6,2)</f>
        <v/>
      </c>
      <c r="K38" s="4">
        <f>ROUND((((Coefficienti!$B$1+Coefficienti!$B$2*K$22+Coefficienti!$B$3*$A38)*Parametri!$B$1+(Coefficienti!$B$4+Coefficienti!$B$5*K$22+Coefficienti!$B$6*$A38)*Parametri!$B$2)*(1-Parametri!$B$3)+((Coefficienti!$B$7+Coefficienti!$B$8*K$22+Coefficienti!$B$9*$A38)+Coefficienti!$B$10)*(1-Parametri!$B$4))*(1+Parametri!$B$5)+FerrGriglia!K17+Coefficienti!$B$11*Parametri!$B$6,2)</f>
        <v/>
      </c>
      <c r="L38" s="4">
        <f>ROUND((((Coefficienti!$B$1+Coefficienti!$B$2*L$22+Coefficienti!$B$3*$A38)*Parametri!$B$1+(Coefficienti!$B$4+Coefficienti!$B$5*L$22+Coefficienti!$B$6*$A38)*Parametri!$B$2)*(1-Parametri!$B$3)+((Coefficienti!$B$7+Coefficienti!$B$8*L$22+Coefficienti!$B$9*$A38)+Coefficienti!$B$10)*(1-Parametri!$B$4))*(1+Parametri!$B$5)+FerrGriglia!L17+Coefficienti!$B$11*Parametri!$B$6,2)</f>
        <v/>
      </c>
      <c r="M38" s="4">
        <f>ROUND((((Coefficienti!$B$1+Coefficienti!$B$2*M$22+Coefficienti!$B$3*$A38)*Parametri!$B$1+(Coefficienti!$B$4+Coefficienti!$B$5*M$22+Coefficienti!$B$6*$A38)*Parametri!$B$2)*(1-Parametri!$B$3)+((Coefficienti!$B$7+Coefficienti!$B$8*M$22+Coefficienti!$B$9*$A38)+Coefficienti!$B$10)*(1-Parametri!$B$4))*(1+Parametri!$B$5)+FerrGriglia!M17+Coefficienti!$B$11*Parametri!$B$6,2)</f>
        <v/>
      </c>
      <c r="N38" s="4">
        <f>ROUND((((Coefficienti!$B$1+Coefficienti!$B$2*N$22+Coefficienti!$B$3*$A38)*Parametri!$B$1+(Coefficienti!$B$4+Coefficienti!$B$5*N$22+Coefficienti!$B$6*$A38)*Parametri!$B$2)*(1-Parametri!$B$3)+((Coefficienti!$B$7+Coefficienti!$B$8*N$22+Coefficienti!$B$9*$A38)+Coefficienti!$B$10)*(1-Parametri!$B$4))*(1+Parametri!$B$5)+FerrGriglia!N17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-0.36516</v>
      </c>
    </row>
    <row r="2">
      <c r="A2" s="5" t="inlineStr">
        <is>
          <t>Peso taglio termico per mm di L (kg/mm)</t>
        </is>
      </c>
      <c r="B2" s="5" t="n">
        <v>0.00598</v>
      </c>
    </row>
    <row r="3">
      <c r="A3" s="5" t="inlineStr">
        <is>
          <t>Peso taglio termico per mm di H (kg/mm)</t>
        </is>
      </c>
      <c r="B3" s="5" t="n">
        <v>0.008999999999999999</v>
      </c>
    </row>
    <row r="4">
      <c r="A4" s="5" t="inlineStr">
        <is>
          <t>Peso profili normali costante (kg)</t>
        </is>
      </c>
      <c r="B4" s="5" t="n">
        <v>-0.44795</v>
      </c>
    </row>
    <row r="5">
      <c r="A5" s="5" t="inlineStr">
        <is>
          <t>Peso normali per mm di L (kg/mm)</t>
        </is>
      </c>
      <c r="B5" s="5" t="n">
        <v>0.00074</v>
      </c>
    </row>
    <row r="6">
      <c r="A6" s="5" t="inlineStr">
        <is>
          <t>Peso normali per mm di H (kg/mm)</t>
        </is>
      </c>
      <c r="B6" s="5" t="n">
        <v>0.00187</v>
      </c>
    </row>
    <row r="7">
      <c r="A7" s="5" t="inlineStr">
        <is>
          <t>Guarnizioni costante (€ listino)</t>
        </is>
      </c>
      <c r="B7" s="5" t="n">
        <v>0.015277</v>
      </c>
    </row>
    <row r="8">
      <c r="A8" s="5" t="inlineStr">
        <is>
          <t>Guarnizioni per mm di L (€/mm)</t>
        </is>
      </c>
      <c r="B8" s="5" t="n">
        <v>0.002453</v>
      </c>
    </row>
    <row r="9">
      <c r="A9" s="5" t="inlineStr">
        <is>
          <t>Guarnizioni per mm di H (€/mm)</t>
        </is>
      </c>
      <c r="B9" s="5" t="n">
        <v>0.003157</v>
      </c>
    </row>
    <row r="10">
      <c r="A10" s="5" t="inlineStr">
        <is>
          <t>Accessori totale (€ listino)</t>
        </is>
      </c>
      <c r="B10" s="5" t="n">
        <v>54.91</v>
      </c>
    </row>
    <row r="11">
      <c r="A11" s="5" t="inlineStr">
        <is>
          <t>Ore manodopera</t>
        </is>
      </c>
      <c r="B11" s="5" t="n">
        <v>4.33333333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Cremonese Multi-Matic (lvMWEspagnoletteGesamt) (201745)</t>
        </is>
      </c>
      <c r="B2" s="8" t="n">
        <v>1</v>
      </c>
      <c r="C2" s="6" t="n">
        <v>3.57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(201750)</t>
        </is>
      </c>
      <c r="B3" s="8" t="n">
        <v>1</v>
      </c>
      <c r="C3" s="6" t="n">
        <v>2.17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(211930)</t>
        </is>
      </c>
      <c r="B7" s="8" t="n">
        <v>1</v>
      </c>
      <c r="C7" s="6" t="n">
        <v>2.03</v>
      </c>
      <c r="D7" s="4">
        <f>B7*C7</f>
        <v/>
      </c>
      <c r="E7" s="5" t="inlineStr">
        <is>
          <t>netto 2025</t>
        </is>
      </c>
    </row>
    <row r="8">
      <c r="A8" s="5" t="inlineStr">
        <is>
          <t>Forbice + braccio (ScherenMontiert) (211675)</t>
        </is>
      </c>
      <c r="B8" s="8" t="n">
        <v>1</v>
      </c>
      <c r="C8" s="6" t="n">
        <v>2.58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(211676)</t>
        </is>
      </c>
      <c r="B9" s="8" t="n">
        <v>1</v>
      </c>
      <c r="C9" s="6" t="n">
        <v>2.58</v>
      </c>
      <c r="D9" s="4">
        <f>B9*C9</f>
        <v/>
      </c>
      <c r="E9" s="5" t="inlineStr">
        <is>
          <t>netto 2025</t>
        </is>
      </c>
    </row>
    <row r="10">
      <c r="A10" s="5" t="inlineStr">
        <is>
          <t>Cerniera angolare (ArtNrEcklager) (250400)</t>
        </is>
      </c>
      <c r="B10" s="8" t="n">
        <v>1</v>
      </c>
      <c r="C10" s="6" t="n">
        <v>5.45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Bandella cerniera angolare (ArtNrEcklagerband) (215806)</t>
        </is>
      </c>
      <c r="B11" s="8" t="n">
        <v>1</v>
      </c>
      <c r="C11" s="6" t="n">
        <v>2.33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Scontro fungo IS (SchliessteilIS) (356361)</t>
        </is>
      </c>
      <c r="B12" s="8" t="n">
        <v>2</v>
      </c>
      <c r="C12" s="6" t="n">
        <v>0.3728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Martellina DK — non nel netto 2025 (1033)</t>
        </is>
      </c>
      <c r="B13" s="8" t="n">
        <v>1</v>
      </c>
      <c r="C13" s="6" t="n">
        <v>5.5</v>
      </c>
      <c r="D13" s="4">
        <f>B13*C13</f>
        <v/>
      </c>
      <c r="E13" s="5" t="inlineStr">
        <is>
          <t>manuale</t>
        </is>
      </c>
    </row>
    <row r="14">
      <c r="A14" s="5" t="inlineStr">
        <is>
          <t>Scontro nottolino personalizzato (VZPersonalisiert) — NON a listino (355866)</t>
        </is>
      </c>
      <c r="B14" s="8" t="n">
        <v>4</v>
      </c>
      <c r="C14" s="6" t="n">
        <v>0</v>
      </c>
      <c r="D14" s="4">
        <f>B14*C14</f>
        <v/>
      </c>
      <c r="E14" s="5" t="inlineStr">
        <is>
          <t>da inserire</t>
        </is>
      </c>
    </row>
    <row r="15">
      <c r="A15" s="5" t="inlineStr">
        <is>
          <t>Asta a leva MM anta semifissa (221911)</t>
        </is>
      </c>
      <c r="B15" s="8" t="n">
        <v>1</v>
      </c>
      <c r="C15" s="6" t="n">
        <v>4.46</v>
      </c>
      <c r="D15" s="4">
        <f>B15*C15</f>
        <v/>
      </c>
      <c r="E15" s="5" t="inlineStr">
        <is>
          <t>netto 2025</t>
        </is>
      </c>
    </row>
    <row r="16">
      <c r="A16" s="5" t="inlineStr">
        <is>
          <t>Movimento angolare prolungabile (222205)</t>
        </is>
      </c>
      <c r="B16" s="8" t="n">
        <v>1</v>
      </c>
      <c r="C16" s="6" t="n">
        <v>1.27</v>
      </c>
      <c r="D16" s="4">
        <f>B16*C16</f>
        <v/>
      </c>
      <c r="E16" s="5" t="inlineStr">
        <is>
          <t>netto 2025</t>
        </is>
      </c>
    </row>
    <row r="17">
      <c r="A17" s="5" t="inlineStr">
        <is>
          <t>Scontri anta semifissa — DA INSERIRE</t>
        </is>
      </c>
      <c r="B17" s="8" t="n">
        <v>1</v>
      </c>
      <c r="C17" s="6" t="n">
        <v>0</v>
      </c>
      <c r="D17" s="4">
        <f>B17*C17</f>
        <v/>
      </c>
      <c r="E17" s="5" t="inlineStr">
        <is>
          <t>da inserire</t>
        </is>
      </c>
    </row>
    <row r="18">
      <c r="A18" s="9" t="inlineStr">
        <is>
          <t>TOTALE FERRAMENTA</t>
        </is>
      </c>
      <c r="D18" s="10">
        <f>SUM(D2:D17)</f>
        <v/>
      </c>
    </row>
    <row r="20">
      <c r="A20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800</v>
      </c>
      <c r="C1" s="9" t="n">
        <v>900</v>
      </c>
      <c r="D1" s="9" t="n">
        <v>1000</v>
      </c>
      <c r="E1" s="9" t="n">
        <v>1100</v>
      </c>
      <c r="F1" s="9" t="n">
        <v>1200</v>
      </c>
      <c r="G1" s="9" t="n">
        <v>1300</v>
      </c>
      <c r="H1" s="9" t="n">
        <v>1400</v>
      </c>
      <c r="I1" s="9" t="n">
        <v>1500</v>
      </c>
      <c r="J1" s="9" t="n">
        <v>1600</v>
      </c>
      <c r="K1" s="9" t="n">
        <v>1700</v>
      </c>
      <c r="L1" s="9" t="n">
        <v>1800</v>
      </c>
      <c r="M1" s="9" t="n">
        <v>1900</v>
      </c>
      <c r="N1" s="9" t="n">
        <v>2000</v>
      </c>
    </row>
    <row r="2">
      <c r="A2" s="9" t="n">
        <v>500</v>
      </c>
      <c r="B2" s="4" t="n">
        <v>27.62</v>
      </c>
      <c r="C2" s="4" t="n">
        <v>27.98</v>
      </c>
      <c r="D2" s="4" t="n">
        <v>27.98</v>
      </c>
      <c r="E2" s="4" t="n">
        <v>30.85</v>
      </c>
      <c r="F2" s="4" t="n">
        <v>30.85</v>
      </c>
      <c r="G2" s="4" t="n">
        <v>31.21</v>
      </c>
      <c r="H2" s="4" t="n">
        <v>31.21</v>
      </c>
      <c r="I2" s="4" t="n">
        <v>31.21</v>
      </c>
      <c r="J2" s="4" t="n">
        <v>31.21</v>
      </c>
      <c r="K2" s="4" t="n">
        <v>33.94</v>
      </c>
      <c r="L2" s="4" t="n">
        <v>33.94</v>
      </c>
      <c r="M2" s="4" t="n">
        <v>33.94</v>
      </c>
      <c r="N2" s="4" t="n">
        <v>33.94</v>
      </c>
    </row>
    <row r="3">
      <c r="A3" s="9" t="n">
        <v>600</v>
      </c>
      <c r="B3" s="4" t="n">
        <v>27.62</v>
      </c>
      <c r="C3" s="4" t="n">
        <v>27.98</v>
      </c>
      <c r="D3" s="4" t="n">
        <v>27.98</v>
      </c>
      <c r="E3" s="4" t="n">
        <v>30.85</v>
      </c>
      <c r="F3" s="4" t="n">
        <v>30.85</v>
      </c>
      <c r="G3" s="4" t="n">
        <v>31.21</v>
      </c>
      <c r="H3" s="4" t="n">
        <v>31.21</v>
      </c>
      <c r="I3" s="4" t="n">
        <v>31.21</v>
      </c>
      <c r="J3" s="4" t="n">
        <v>31.21</v>
      </c>
      <c r="K3" s="4" t="n">
        <v>33.94</v>
      </c>
      <c r="L3" s="4" t="n">
        <v>33.94</v>
      </c>
      <c r="M3" s="4" t="n">
        <v>33.94</v>
      </c>
      <c r="N3" s="4" t="n">
        <v>33.94</v>
      </c>
    </row>
    <row r="4">
      <c r="A4" s="9" t="n">
        <v>700</v>
      </c>
      <c r="B4" s="4" t="n">
        <v>27.62</v>
      </c>
      <c r="C4" s="4" t="n">
        <v>27.98</v>
      </c>
      <c r="D4" s="4" t="n">
        <v>27.98</v>
      </c>
      <c r="E4" s="4" t="n">
        <v>30.85</v>
      </c>
      <c r="F4" s="4" t="n">
        <v>30.85</v>
      </c>
      <c r="G4" s="4" t="n">
        <v>31.21</v>
      </c>
      <c r="H4" s="4" t="n">
        <v>31.21</v>
      </c>
      <c r="I4" s="4" t="n">
        <v>31.21</v>
      </c>
      <c r="J4" s="4" t="n">
        <v>31.21</v>
      </c>
      <c r="K4" s="4" t="n">
        <v>33.94</v>
      </c>
      <c r="L4" s="4" t="n">
        <v>33.94</v>
      </c>
      <c r="M4" s="4" t="n">
        <v>33.94</v>
      </c>
      <c r="N4" s="4" t="n">
        <v>33.94</v>
      </c>
    </row>
    <row r="5">
      <c r="A5" s="9" t="n">
        <v>800</v>
      </c>
      <c r="B5" s="4" t="n">
        <v>28.1</v>
      </c>
      <c r="C5" s="4" t="n">
        <v>28.46</v>
      </c>
      <c r="D5" s="4" t="n">
        <v>28.46</v>
      </c>
      <c r="E5" s="4" t="n">
        <v>31.33</v>
      </c>
      <c r="F5" s="4" t="n">
        <v>31.33</v>
      </c>
      <c r="G5" s="4" t="n">
        <v>31.69</v>
      </c>
      <c r="H5" s="4" t="n">
        <v>31.69</v>
      </c>
      <c r="I5" s="4" t="n">
        <v>31.69</v>
      </c>
      <c r="J5" s="4" t="n">
        <v>31.69</v>
      </c>
      <c r="K5" s="4" t="n">
        <v>34.42</v>
      </c>
      <c r="L5" s="4" t="n">
        <v>34.42</v>
      </c>
      <c r="M5" s="4" t="n">
        <v>34.42</v>
      </c>
      <c r="N5" s="4" t="n">
        <v>34.42</v>
      </c>
    </row>
    <row r="6">
      <c r="A6" s="9" t="n">
        <v>900</v>
      </c>
      <c r="B6" s="4" t="n">
        <v>34.17</v>
      </c>
      <c r="C6" s="4" t="n">
        <v>34.53</v>
      </c>
      <c r="D6" s="4" t="n">
        <v>34.53</v>
      </c>
      <c r="E6" s="4" t="n">
        <v>37.4</v>
      </c>
      <c r="F6" s="4" t="n">
        <v>37.4</v>
      </c>
      <c r="G6" s="4" t="n">
        <v>37.76</v>
      </c>
      <c r="H6" s="4" t="n">
        <v>37.76</v>
      </c>
      <c r="I6" s="4" t="n">
        <v>37.76</v>
      </c>
      <c r="J6" s="4" t="n">
        <v>37.76</v>
      </c>
      <c r="K6" s="4" t="n">
        <v>40.49</v>
      </c>
      <c r="L6" s="4" t="n">
        <v>40.49</v>
      </c>
      <c r="M6" s="4" t="n">
        <v>40.49</v>
      </c>
      <c r="N6" s="4" t="n">
        <v>40.49</v>
      </c>
    </row>
    <row r="7">
      <c r="A7" s="9" t="n">
        <v>1000</v>
      </c>
      <c r="B7" s="4" t="n">
        <v>34.89</v>
      </c>
      <c r="C7" s="4" t="n">
        <v>35.25</v>
      </c>
      <c r="D7" s="4" t="n">
        <v>35.25</v>
      </c>
      <c r="E7" s="4" t="n">
        <v>38.12</v>
      </c>
      <c r="F7" s="4" t="n">
        <v>38.12</v>
      </c>
      <c r="G7" s="4" t="n">
        <v>38.48</v>
      </c>
      <c r="H7" s="4" t="n">
        <v>38.48</v>
      </c>
      <c r="I7" s="4" t="n">
        <v>38.48</v>
      </c>
      <c r="J7" s="4" t="n">
        <v>38.48</v>
      </c>
      <c r="K7" s="4" t="n">
        <v>41.21</v>
      </c>
      <c r="L7" s="4" t="n">
        <v>41.21</v>
      </c>
      <c r="M7" s="4" t="n">
        <v>41.21</v>
      </c>
      <c r="N7" s="4" t="n">
        <v>41.21</v>
      </c>
    </row>
    <row r="8">
      <c r="A8" s="9" t="n">
        <v>1100</v>
      </c>
      <c r="B8" s="4" t="n">
        <v>34.89</v>
      </c>
      <c r="C8" s="4" t="n">
        <v>35.25</v>
      </c>
      <c r="D8" s="4" t="n">
        <v>35.25</v>
      </c>
      <c r="E8" s="4" t="n">
        <v>38.12</v>
      </c>
      <c r="F8" s="4" t="n">
        <v>38.12</v>
      </c>
      <c r="G8" s="4" t="n">
        <v>38.48</v>
      </c>
      <c r="H8" s="4" t="n">
        <v>38.48</v>
      </c>
      <c r="I8" s="4" t="n">
        <v>38.48</v>
      </c>
      <c r="J8" s="4" t="n">
        <v>38.48</v>
      </c>
      <c r="K8" s="4" t="n">
        <v>41.21</v>
      </c>
      <c r="L8" s="4" t="n">
        <v>41.21</v>
      </c>
      <c r="M8" s="4" t="n">
        <v>41.21</v>
      </c>
      <c r="N8" s="4" t="n">
        <v>41.21</v>
      </c>
    </row>
    <row r="9">
      <c r="A9" s="9" t="n">
        <v>1200</v>
      </c>
      <c r="B9" s="4" t="n">
        <v>35.43</v>
      </c>
      <c r="C9" s="4" t="n">
        <v>35.79</v>
      </c>
      <c r="D9" s="4" t="n">
        <v>35.79</v>
      </c>
      <c r="E9" s="4" t="n">
        <v>38.66</v>
      </c>
      <c r="F9" s="4" t="n">
        <v>38.66</v>
      </c>
      <c r="G9" s="4" t="n">
        <v>39.02</v>
      </c>
      <c r="H9" s="4" t="n">
        <v>39.02</v>
      </c>
      <c r="I9" s="4" t="n">
        <v>39.02</v>
      </c>
      <c r="J9" s="4" t="n">
        <v>39.02</v>
      </c>
      <c r="K9" s="4" t="n">
        <v>41.75</v>
      </c>
      <c r="L9" s="4" t="n">
        <v>41.75</v>
      </c>
      <c r="M9" s="4" t="n">
        <v>41.75</v>
      </c>
      <c r="N9" s="4" t="n">
        <v>41.75</v>
      </c>
    </row>
    <row r="10">
      <c r="A10" s="9" t="n">
        <v>1300</v>
      </c>
      <c r="B10" s="4" t="n">
        <v>34.95</v>
      </c>
      <c r="C10" s="4" t="n">
        <v>35.31</v>
      </c>
      <c r="D10" s="4" t="n">
        <v>35.31</v>
      </c>
      <c r="E10" s="4" t="n">
        <v>38.18</v>
      </c>
      <c r="F10" s="4" t="n">
        <v>38.18</v>
      </c>
      <c r="G10" s="4" t="n">
        <v>38.54</v>
      </c>
      <c r="H10" s="4" t="n">
        <v>38.54</v>
      </c>
      <c r="I10" s="4" t="n">
        <v>38.54</v>
      </c>
      <c r="J10" s="4" t="n">
        <v>38.54</v>
      </c>
      <c r="K10" s="4" t="n">
        <v>41.27</v>
      </c>
      <c r="L10" s="4" t="n">
        <v>41.27</v>
      </c>
      <c r="M10" s="4" t="n">
        <v>41.27</v>
      </c>
      <c r="N10" s="4" t="n">
        <v>41.27</v>
      </c>
    </row>
    <row r="11">
      <c r="A11" s="9" t="n">
        <v>1400</v>
      </c>
      <c r="B11" s="4" t="n">
        <v>35.21</v>
      </c>
      <c r="C11" s="4" t="n">
        <v>35.57</v>
      </c>
      <c r="D11" s="4" t="n">
        <v>35.57</v>
      </c>
      <c r="E11" s="4" t="n">
        <v>38.44</v>
      </c>
      <c r="F11" s="4" t="n">
        <v>38.44</v>
      </c>
      <c r="G11" s="4" t="n">
        <v>38.8</v>
      </c>
      <c r="H11" s="4" t="n">
        <v>38.8</v>
      </c>
      <c r="I11" s="4" t="n">
        <v>38.8</v>
      </c>
      <c r="J11" s="4" t="n">
        <v>38.8</v>
      </c>
      <c r="K11" s="4" t="n">
        <v>41.53</v>
      </c>
      <c r="L11" s="4" t="n">
        <v>41.53</v>
      </c>
      <c r="M11" s="4" t="n">
        <v>41.53</v>
      </c>
      <c r="N11" s="4" t="n">
        <v>41.53</v>
      </c>
    </row>
    <row r="12">
      <c r="A12" s="9" t="n">
        <v>1500</v>
      </c>
      <c r="B12" s="4" t="n">
        <v>36.75</v>
      </c>
      <c r="C12" s="4" t="n">
        <v>37.11</v>
      </c>
      <c r="D12" s="4" t="n">
        <v>37.11</v>
      </c>
      <c r="E12" s="4" t="n">
        <v>39.98</v>
      </c>
      <c r="F12" s="4" t="n">
        <v>39.98</v>
      </c>
      <c r="G12" s="4" t="n">
        <v>40.34</v>
      </c>
      <c r="H12" s="4" t="n">
        <v>40.34</v>
      </c>
      <c r="I12" s="4" t="n">
        <v>40.34</v>
      </c>
      <c r="J12" s="4" t="n">
        <v>40.34</v>
      </c>
      <c r="K12" s="4" t="n">
        <v>43.07</v>
      </c>
      <c r="L12" s="4" t="n">
        <v>43.07</v>
      </c>
      <c r="M12" s="4" t="n">
        <v>43.07</v>
      </c>
      <c r="N12" s="4" t="n">
        <v>43.07</v>
      </c>
    </row>
    <row r="13">
      <c r="A13" s="9" t="n">
        <v>1600</v>
      </c>
      <c r="B13" s="4" t="n">
        <v>36.9</v>
      </c>
      <c r="C13" s="4" t="n">
        <v>37.26</v>
      </c>
      <c r="D13" s="4" t="n">
        <v>37.26</v>
      </c>
      <c r="E13" s="4" t="n">
        <v>40.13</v>
      </c>
      <c r="F13" s="4" t="n">
        <v>40.13</v>
      </c>
      <c r="G13" s="4" t="n">
        <v>40.49</v>
      </c>
      <c r="H13" s="4" t="n">
        <v>40.49</v>
      </c>
      <c r="I13" s="4" t="n">
        <v>40.49</v>
      </c>
      <c r="J13" s="4" t="n">
        <v>40.49</v>
      </c>
      <c r="K13" s="4" t="n">
        <v>43.22</v>
      </c>
      <c r="L13" s="4" t="n">
        <v>43.22</v>
      </c>
      <c r="M13" s="4" t="n">
        <v>43.22</v>
      </c>
      <c r="N13" s="4" t="n">
        <v>43.22</v>
      </c>
    </row>
    <row r="14">
      <c r="A14" s="9" t="n">
        <v>1700</v>
      </c>
      <c r="B14" s="4" t="n">
        <v>37.17</v>
      </c>
      <c r="C14" s="4" t="n">
        <v>37.53</v>
      </c>
      <c r="D14" s="4" t="n">
        <v>37.53</v>
      </c>
      <c r="E14" s="4" t="n">
        <v>40.4</v>
      </c>
      <c r="F14" s="4" t="n">
        <v>40.4</v>
      </c>
      <c r="G14" s="4" t="n">
        <v>40.76</v>
      </c>
      <c r="H14" s="4" t="n">
        <v>40.76</v>
      </c>
      <c r="I14" s="4" t="n">
        <v>40.76</v>
      </c>
      <c r="J14" s="4" t="n">
        <v>40.76</v>
      </c>
      <c r="K14" s="4" t="n">
        <v>43.49</v>
      </c>
      <c r="L14" s="4" t="n">
        <v>43.49</v>
      </c>
      <c r="M14" s="4" t="n">
        <v>43.49</v>
      </c>
      <c r="N14" s="4" t="n">
        <v>43.49</v>
      </c>
    </row>
    <row r="15">
      <c r="A15" s="9" t="n">
        <v>1800</v>
      </c>
      <c r="B15" s="4" t="n">
        <v>37.79</v>
      </c>
      <c r="C15" s="4" t="n">
        <v>38.15</v>
      </c>
      <c r="D15" s="4" t="n">
        <v>38.15</v>
      </c>
      <c r="E15" s="4" t="n">
        <v>41.02</v>
      </c>
      <c r="F15" s="4" t="n">
        <v>41.02</v>
      </c>
      <c r="G15" s="4" t="n">
        <v>41.38</v>
      </c>
      <c r="H15" s="4" t="n">
        <v>41.38</v>
      </c>
      <c r="I15" s="4" t="n">
        <v>41.38</v>
      </c>
      <c r="J15" s="4" t="n">
        <v>41.38</v>
      </c>
      <c r="K15" s="4" t="n">
        <v>44.11</v>
      </c>
      <c r="L15" s="4" t="n">
        <v>44.11</v>
      </c>
      <c r="M15" s="4" t="n">
        <v>44.11</v>
      </c>
      <c r="N15" s="4" t="n">
        <v>44.11</v>
      </c>
    </row>
    <row r="16">
      <c r="A16" s="9" t="n">
        <v>1900</v>
      </c>
      <c r="B16" s="4" t="n">
        <v>37.79</v>
      </c>
      <c r="C16" s="4" t="n">
        <v>38.15</v>
      </c>
      <c r="D16" s="4" t="n">
        <v>38.15</v>
      </c>
      <c r="E16" s="4" t="n">
        <v>41.02</v>
      </c>
      <c r="F16" s="4" t="n">
        <v>41.02</v>
      </c>
      <c r="G16" s="4" t="n">
        <v>41.38</v>
      </c>
      <c r="H16" s="4" t="n">
        <v>41.38</v>
      </c>
      <c r="I16" s="4" t="n">
        <v>41.38</v>
      </c>
      <c r="J16" s="4" t="n">
        <v>41.38</v>
      </c>
      <c r="K16" s="4" t="n">
        <v>44.11</v>
      </c>
      <c r="L16" s="4" t="n">
        <v>44.11</v>
      </c>
      <c r="M16" s="4" t="n">
        <v>44.11</v>
      </c>
      <c r="N16" s="4" t="n">
        <v>44.11</v>
      </c>
    </row>
    <row r="17">
      <c r="A17" s="9" t="n">
        <v>2000</v>
      </c>
      <c r="B17" s="4" t="n">
        <v>37.79</v>
      </c>
      <c r="C17" s="4" t="n">
        <v>38.15</v>
      </c>
      <c r="D17" s="4" t="n">
        <v>38.15</v>
      </c>
      <c r="E17" s="4" t="n">
        <v>41.02</v>
      </c>
      <c r="F17" s="4" t="n">
        <v>41.02</v>
      </c>
      <c r="G17" s="4" t="n">
        <v>41.38</v>
      </c>
      <c r="H17" s="4" t="n">
        <v>41.38</v>
      </c>
      <c r="I17" s="4" t="n">
        <v>41.38</v>
      </c>
      <c r="J17" s="4" t="n">
        <v>41.38</v>
      </c>
      <c r="K17" s="4" t="n">
        <v>44.11</v>
      </c>
      <c r="L17" s="4" t="n">
        <v>44.11</v>
      </c>
      <c r="M17" s="4" t="n">
        <v>44.11</v>
      </c>
      <c r="N17" s="4" t="n">
        <v>44.11</v>
      </c>
    </row>
    <row r="20">
      <c r="A20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2026-09-14T14:43:58Z</dcterms:created>
  <dcterms:modified xsi:type="dcterms:W3CDTF">2026-09-14T14:43:58Z</dcterms:modified>
</cp:coreProperties>
</file>