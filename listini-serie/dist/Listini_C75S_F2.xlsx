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zzo" sheetId="1" state="visible" r:id="rId1"/>
    <sheet name="Parametri" sheetId="2" state="visible" r:id="rId2"/>
    <sheet name="Coefficienti" sheetId="3" state="visible" r:id="rId3"/>
    <sheet name="Ferramenta" sheetId="4" state="visible" r:id="rId4"/>
    <sheet name="FerrGrigl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sz val="10"/>
    </font>
    <font>
      <name val="Arial"/>
      <color rgb="000000FF"/>
      <sz val="10"/>
    </font>
    <font>
      <name val="Arial"/>
      <b val="1"/>
      <sz val="10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0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horizontal="center"/>
    </xf>
    <xf numFmtId="2" fontId="1" fillId="0" borderId="0" pivotButton="0" quotePrefix="0" xfId="0"/>
    <xf numFmtId="0" fontId="1" fillId="0" borderId="0" pivotButton="0" quotePrefix="0" xfId="0"/>
    <xf numFmtId="2" fontId="2" fillId="2" borderId="0" pivotButton="0" quotePrefix="0" xfId="0"/>
    <xf numFmtId="9" fontId="2" fillId="2" borderId="0" pivotButton="0" quotePrefix="0" xfId="0"/>
    <xf numFmtId="0" fontId="2" fillId="2" borderId="0" pivotButton="0" quotePrefix="0" xfId="0"/>
    <xf numFmtId="0" fontId="3" fillId="0" borderId="0" pivotButton="0" quotePrefix="0" xfId="0"/>
    <xf numFmtId="2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LISTINO — FINESTRA 2 ANTE (2A75) — C75S SENZA VETRO — RAL 7016 (costo +213%)</t>
        </is>
      </c>
    </row>
    <row r="2">
      <c r="A2" s="2" t="inlineStr">
        <is>
          <t>H/L</t>
        </is>
      </c>
      <c r="B2" s="3" t="n">
        <v>800</v>
      </c>
      <c r="C2" s="3" t="n">
        <v>900</v>
      </c>
      <c r="D2" s="3" t="n">
        <v>1000</v>
      </c>
      <c r="E2" s="3" t="n">
        <v>1100</v>
      </c>
      <c r="F2" s="3" t="n">
        <v>1200</v>
      </c>
      <c r="G2" s="3" t="n">
        <v>1300</v>
      </c>
      <c r="H2" s="3" t="n">
        <v>1400</v>
      </c>
      <c r="I2" s="3" t="n">
        <v>1500</v>
      </c>
      <c r="J2" s="3" t="n">
        <v>1600</v>
      </c>
      <c r="K2" s="3" t="n">
        <v>1700</v>
      </c>
      <c r="L2" s="3" t="n">
        <v>1800</v>
      </c>
      <c r="M2" s="3" t="n">
        <v>1900</v>
      </c>
      <c r="N2" s="3" t="n">
        <v>2000</v>
      </c>
    </row>
    <row r="3">
      <c r="A3" s="2" t="n">
        <v>500</v>
      </c>
      <c r="B3" s="4">
        <f>ROUND(ROUND((((Coefficienti!$B$1+Coefficienti!$B$2*B$2+Coefficienti!$B$3*$A3)*Parametri!$B$1+(Coefficienti!$B$4+Coefficienti!$B$5*B$2+Coefficienti!$B$6*$A3)*Parametri!$B$2)*(1-Parametri!$B$3)+((Coefficienti!$B$7+Coefficienti!$B$8*B$2+Coefficienti!$B$9*$A3)+Coefficienti!$B$10)*(1-Parametri!$B$4))*(1+Parametri!$B$5)+FerrGriglia!B2+Coefficienti!$B$11*Parametri!$B$6,2)*(1+Parametri!$B$7),2)</f>
        <v/>
      </c>
      <c r="C3" s="4">
        <f>ROUND(ROUND((((Coefficienti!$B$1+Coefficienti!$B$2*C$2+Coefficienti!$B$3*$A3)*Parametri!$B$1+(Coefficienti!$B$4+Coefficienti!$B$5*C$2+Coefficienti!$B$6*$A3)*Parametri!$B$2)*(1-Parametri!$B$3)+((Coefficienti!$B$7+Coefficienti!$B$8*C$2+Coefficienti!$B$9*$A3)+Coefficienti!$B$10)*(1-Parametri!$B$4))*(1+Parametri!$B$5)+FerrGriglia!C2+Coefficienti!$B$11*Parametri!$B$6,2)*(1+Parametri!$B$7),2)</f>
        <v/>
      </c>
      <c r="D3" s="4">
        <f>ROUND(ROUND((((Coefficienti!$B$1+Coefficienti!$B$2*D$2+Coefficienti!$B$3*$A3)*Parametri!$B$1+(Coefficienti!$B$4+Coefficienti!$B$5*D$2+Coefficienti!$B$6*$A3)*Parametri!$B$2)*(1-Parametri!$B$3)+((Coefficienti!$B$7+Coefficienti!$B$8*D$2+Coefficienti!$B$9*$A3)+Coefficienti!$B$10)*(1-Parametri!$B$4))*(1+Parametri!$B$5)+FerrGriglia!D2+Coefficienti!$B$11*Parametri!$B$6,2)*(1+Parametri!$B$7),2)</f>
        <v/>
      </c>
      <c r="E3" s="4">
        <f>ROUND(ROUND((((Coefficienti!$B$1+Coefficienti!$B$2*E$2+Coefficienti!$B$3*$A3)*Parametri!$B$1+(Coefficienti!$B$4+Coefficienti!$B$5*E$2+Coefficienti!$B$6*$A3)*Parametri!$B$2)*(1-Parametri!$B$3)+((Coefficienti!$B$7+Coefficienti!$B$8*E$2+Coefficienti!$B$9*$A3)+Coefficienti!$B$10)*(1-Parametri!$B$4))*(1+Parametri!$B$5)+FerrGriglia!E2+Coefficienti!$B$11*Parametri!$B$6,2)*(1+Parametri!$B$7),2)</f>
        <v/>
      </c>
      <c r="F3" s="4">
        <f>ROUND(ROUND((((Coefficienti!$B$1+Coefficienti!$B$2*F$2+Coefficienti!$B$3*$A3)*Parametri!$B$1+(Coefficienti!$B$4+Coefficienti!$B$5*F$2+Coefficienti!$B$6*$A3)*Parametri!$B$2)*(1-Parametri!$B$3)+((Coefficienti!$B$7+Coefficienti!$B$8*F$2+Coefficienti!$B$9*$A3)+Coefficienti!$B$10)*(1-Parametri!$B$4))*(1+Parametri!$B$5)+FerrGriglia!F2+Coefficienti!$B$11*Parametri!$B$6,2)*(1+Parametri!$B$7),2)</f>
        <v/>
      </c>
      <c r="G3" s="4">
        <f>ROUND(ROUND((((Coefficienti!$B$1+Coefficienti!$B$2*G$2+Coefficienti!$B$3*$A3)*Parametri!$B$1+(Coefficienti!$B$4+Coefficienti!$B$5*G$2+Coefficienti!$B$6*$A3)*Parametri!$B$2)*(1-Parametri!$B$3)+((Coefficienti!$B$7+Coefficienti!$B$8*G$2+Coefficienti!$B$9*$A3)+Coefficienti!$B$10)*(1-Parametri!$B$4))*(1+Parametri!$B$5)+FerrGriglia!G2+Coefficienti!$B$11*Parametri!$B$6,2)*(1+Parametri!$B$7),2)</f>
        <v/>
      </c>
      <c r="H3" s="4">
        <f>ROUND(ROUND((((Coefficienti!$B$1+Coefficienti!$B$2*H$2+Coefficienti!$B$3*$A3)*Parametri!$B$1+(Coefficienti!$B$4+Coefficienti!$B$5*H$2+Coefficienti!$B$6*$A3)*Parametri!$B$2)*(1-Parametri!$B$3)+((Coefficienti!$B$7+Coefficienti!$B$8*H$2+Coefficienti!$B$9*$A3)+Coefficienti!$B$10)*(1-Parametri!$B$4))*(1+Parametri!$B$5)+FerrGriglia!H2+Coefficienti!$B$11*Parametri!$B$6,2)*(1+Parametri!$B$7),2)</f>
        <v/>
      </c>
      <c r="I3" s="4">
        <f>ROUND(ROUND((((Coefficienti!$B$1+Coefficienti!$B$2*I$2+Coefficienti!$B$3*$A3)*Parametri!$B$1+(Coefficienti!$B$4+Coefficienti!$B$5*I$2+Coefficienti!$B$6*$A3)*Parametri!$B$2)*(1-Parametri!$B$3)+((Coefficienti!$B$7+Coefficienti!$B$8*I$2+Coefficienti!$B$9*$A3)+Coefficienti!$B$10)*(1-Parametri!$B$4))*(1+Parametri!$B$5)+FerrGriglia!I2+Coefficienti!$B$11*Parametri!$B$6,2)*(1+Parametri!$B$7),2)</f>
        <v/>
      </c>
      <c r="J3" s="4">
        <f>ROUND(ROUND((((Coefficienti!$B$1+Coefficienti!$B$2*J$2+Coefficienti!$B$3*$A3)*Parametri!$B$1+(Coefficienti!$B$4+Coefficienti!$B$5*J$2+Coefficienti!$B$6*$A3)*Parametri!$B$2)*(1-Parametri!$B$3)+((Coefficienti!$B$7+Coefficienti!$B$8*J$2+Coefficienti!$B$9*$A3)+Coefficienti!$B$10)*(1-Parametri!$B$4))*(1+Parametri!$B$5)+FerrGriglia!J2+Coefficienti!$B$11*Parametri!$B$6,2)*(1+Parametri!$B$7),2)</f>
        <v/>
      </c>
      <c r="K3" s="4">
        <f>ROUND(ROUND((((Coefficienti!$B$1+Coefficienti!$B$2*K$2+Coefficienti!$B$3*$A3)*Parametri!$B$1+(Coefficienti!$B$4+Coefficienti!$B$5*K$2+Coefficienti!$B$6*$A3)*Parametri!$B$2)*(1-Parametri!$B$3)+((Coefficienti!$B$7+Coefficienti!$B$8*K$2+Coefficienti!$B$9*$A3)+Coefficienti!$B$10)*(1-Parametri!$B$4))*(1+Parametri!$B$5)+FerrGriglia!K2+Coefficienti!$B$11*Parametri!$B$6,2)*(1+Parametri!$B$7),2)</f>
        <v/>
      </c>
      <c r="L3" s="4">
        <f>ROUND(ROUND((((Coefficienti!$B$1+Coefficienti!$B$2*L$2+Coefficienti!$B$3*$A3)*Parametri!$B$1+(Coefficienti!$B$4+Coefficienti!$B$5*L$2+Coefficienti!$B$6*$A3)*Parametri!$B$2)*(1-Parametri!$B$3)+((Coefficienti!$B$7+Coefficienti!$B$8*L$2+Coefficienti!$B$9*$A3)+Coefficienti!$B$10)*(1-Parametri!$B$4))*(1+Parametri!$B$5)+FerrGriglia!L2+Coefficienti!$B$11*Parametri!$B$6,2)*(1+Parametri!$B$7),2)</f>
        <v/>
      </c>
      <c r="M3" s="4">
        <f>ROUND(ROUND((((Coefficienti!$B$1+Coefficienti!$B$2*M$2+Coefficienti!$B$3*$A3)*Parametri!$B$1+(Coefficienti!$B$4+Coefficienti!$B$5*M$2+Coefficienti!$B$6*$A3)*Parametri!$B$2)*(1-Parametri!$B$3)+((Coefficienti!$B$7+Coefficienti!$B$8*M$2+Coefficienti!$B$9*$A3)+Coefficienti!$B$10)*(1-Parametri!$B$4))*(1+Parametri!$B$5)+FerrGriglia!M2+Coefficienti!$B$11*Parametri!$B$6,2)*(1+Parametri!$B$7),2)</f>
        <v/>
      </c>
      <c r="N3" s="4">
        <f>ROUND(ROUND((((Coefficienti!$B$1+Coefficienti!$B$2*N$2+Coefficienti!$B$3*$A3)*Parametri!$B$1+(Coefficienti!$B$4+Coefficienti!$B$5*N$2+Coefficienti!$B$6*$A3)*Parametri!$B$2)*(1-Parametri!$B$3)+((Coefficienti!$B$7+Coefficienti!$B$8*N$2+Coefficienti!$B$9*$A3)+Coefficienti!$B$10)*(1-Parametri!$B$4))*(1+Parametri!$B$5)+FerrGriglia!N2+Coefficienti!$B$11*Parametri!$B$6,2)*(1+Parametri!$B$7),2)</f>
        <v/>
      </c>
    </row>
    <row r="4">
      <c r="A4" s="2" t="n">
        <v>600</v>
      </c>
      <c r="B4" s="4">
        <f>ROUND(ROUND((((Coefficienti!$B$1+Coefficienti!$B$2*B$2+Coefficienti!$B$3*$A4)*Parametri!$B$1+(Coefficienti!$B$4+Coefficienti!$B$5*B$2+Coefficienti!$B$6*$A4)*Parametri!$B$2)*(1-Parametri!$B$3)+((Coefficienti!$B$7+Coefficienti!$B$8*B$2+Coefficienti!$B$9*$A4)+Coefficienti!$B$10)*(1-Parametri!$B$4))*(1+Parametri!$B$5)+FerrGriglia!B3+Coefficienti!$B$11*Parametri!$B$6,2)*(1+Parametri!$B$7),2)</f>
        <v/>
      </c>
      <c r="C4" s="4">
        <f>ROUND(ROUND((((Coefficienti!$B$1+Coefficienti!$B$2*C$2+Coefficienti!$B$3*$A4)*Parametri!$B$1+(Coefficienti!$B$4+Coefficienti!$B$5*C$2+Coefficienti!$B$6*$A4)*Parametri!$B$2)*(1-Parametri!$B$3)+((Coefficienti!$B$7+Coefficienti!$B$8*C$2+Coefficienti!$B$9*$A4)+Coefficienti!$B$10)*(1-Parametri!$B$4))*(1+Parametri!$B$5)+FerrGriglia!C3+Coefficienti!$B$11*Parametri!$B$6,2)*(1+Parametri!$B$7),2)</f>
        <v/>
      </c>
      <c r="D4" s="4">
        <f>ROUND(ROUND((((Coefficienti!$B$1+Coefficienti!$B$2*D$2+Coefficienti!$B$3*$A4)*Parametri!$B$1+(Coefficienti!$B$4+Coefficienti!$B$5*D$2+Coefficienti!$B$6*$A4)*Parametri!$B$2)*(1-Parametri!$B$3)+((Coefficienti!$B$7+Coefficienti!$B$8*D$2+Coefficienti!$B$9*$A4)+Coefficienti!$B$10)*(1-Parametri!$B$4))*(1+Parametri!$B$5)+FerrGriglia!D3+Coefficienti!$B$11*Parametri!$B$6,2)*(1+Parametri!$B$7),2)</f>
        <v/>
      </c>
      <c r="E4" s="4">
        <f>ROUND(ROUND((((Coefficienti!$B$1+Coefficienti!$B$2*E$2+Coefficienti!$B$3*$A4)*Parametri!$B$1+(Coefficienti!$B$4+Coefficienti!$B$5*E$2+Coefficienti!$B$6*$A4)*Parametri!$B$2)*(1-Parametri!$B$3)+((Coefficienti!$B$7+Coefficienti!$B$8*E$2+Coefficienti!$B$9*$A4)+Coefficienti!$B$10)*(1-Parametri!$B$4))*(1+Parametri!$B$5)+FerrGriglia!E3+Coefficienti!$B$11*Parametri!$B$6,2)*(1+Parametri!$B$7),2)</f>
        <v/>
      </c>
      <c r="F4" s="4">
        <f>ROUND(ROUND((((Coefficienti!$B$1+Coefficienti!$B$2*F$2+Coefficienti!$B$3*$A4)*Parametri!$B$1+(Coefficienti!$B$4+Coefficienti!$B$5*F$2+Coefficienti!$B$6*$A4)*Parametri!$B$2)*(1-Parametri!$B$3)+((Coefficienti!$B$7+Coefficienti!$B$8*F$2+Coefficienti!$B$9*$A4)+Coefficienti!$B$10)*(1-Parametri!$B$4))*(1+Parametri!$B$5)+FerrGriglia!F3+Coefficienti!$B$11*Parametri!$B$6,2)*(1+Parametri!$B$7),2)</f>
        <v/>
      </c>
      <c r="G4" s="4">
        <f>ROUND(ROUND((((Coefficienti!$B$1+Coefficienti!$B$2*G$2+Coefficienti!$B$3*$A4)*Parametri!$B$1+(Coefficienti!$B$4+Coefficienti!$B$5*G$2+Coefficienti!$B$6*$A4)*Parametri!$B$2)*(1-Parametri!$B$3)+((Coefficienti!$B$7+Coefficienti!$B$8*G$2+Coefficienti!$B$9*$A4)+Coefficienti!$B$10)*(1-Parametri!$B$4))*(1+Parametri!$B$5)+FerrGriglia!G3+Coefficienti!$B$11*Parametri!$B$6,2)*(1+Parametri!$B$7),2)</f>
        <v/>
      </c>
      <c r="H4" s="4">
        <f>ROUND(ROUND((((Coefficienti!$B$1+Coefficienti!$B$2*H$2+Coefficienti!$B$3*$A4)*Parametri!$B$1+(Coefficienti!$B$4+Coefficienti!$B$5*H$2+Coefficienti!$B$6*$A4)*Parametri!$B$2)*(1-Parametri!$B$3)+((Coefficienti!$B$7+Coefficienti!$B$8*H$2+Coefficienti!$B$9*$A4)+Coefficienti!$B$10)*(1-Parametri!$B$4))*(1+Parametri!$B$5)+FerrGriglia!H3+Coefficienti!$B$11*Parametri!$B$6,2)*(1+Parametri!$B$7),2)</f>
        <v/>
      </c>
      <c r="I4" s="4">
        <f>ROUND(ROUND((((Coefficienti!$B$1+Coefficienti!$B$2*I$2+Coefficienti!$B$3*$A4)*Parametri!$B$1+(Coefficienti!$B$4+Coefficienti!$B$5*I$2+Coefficienti!$B$6*$A4)*Parametri!$B$2)*(1-Parametri!$B$3)+((Coefficienti!$B$7+Coefficienti!$B$8*I$2+Coefficienti!$B$9*$A4)+Coefficienti!$B$10)*(1-Parametri!$B$4))*(1+Parametri!$B$5)+FerrGriglia!I3+Coefficienti!$B$11*Parametri!$B$6,2)*(1+Parametri!$B$7),2)</f>
        <v/>
      </c>
      <c r="J4" s="4">
        <f>ROUND(ROUND((((Coefficienti!$B$1+Coefficienti!$B$2*J$2+Coefficienti!$B$3*$A4)*Parametri!$B$1+(Coefficienti!$B$4+Coefficienti!$B$5*J$2+Coefficienti!$B$6*$A4)*Parametri!$B$2)*(1-Parametri!$B$3)+((Coefficienti!$B$7+Coefficienti!$B$8*J$2+Coefficienti!$B$9*$A4)+Coefficienti!$B$10)*(1-Parametri!$B$4))*(1+Parametri!$B$5)+FerrGriglia!J3+Coefficienti!$B$11*Parametri!$B$6,2)*(1+Parametri!$B$7),2)</f>
        <v/>
      </c>
      <c r="K4" s="4">
        <f>ROUND(ROUND((((Coefficienti!$B$1+Coefficienti!$B$2*K$2+Coefficienti!$B$3*$A4)*Parametri!$B$1+(Coefficienti!$B$4+Coefficienti!$B$5*K$2+Coefficienti!$B$6*$A4)*Parametri!$B$2)*(1-Parametri!$B$3)+((Coefficienti!$B$7+Coefficienti!$B$8*K$2+Coefficienti!$B$9*$A4)+Coefficienti!$B$10)*(1-Parametri!$B$4))*(1+Parametri!$B$5)+FerrGriglia!K3+Coefficienti!$B$11*Parametri!$B$6,2)*(1+Parametri!$B$7),2)</f>
        <v/>
      </c>
      <c r="L4" s="4">
        <f>ROUND(ROUND((((Coefficienti!$B$1+Coefficienti!$B$2*L$2+Coefficienti!$B$3*$A4)*Parametri!$B$1+(Coefficienti!$B$4+Coefficienti!$B$5*L$2+Coefficienti!$B$6*$A4)*Parametri!$B$2)*(1-Parametri!$B$3)+((Coefficienti!$B$7+Coefficienti!$B$8*L$2+Coefficienti!$B$9*$A4)+Coefficienti!$B$10)*(1-Parametri!$B$4))*(1+Parametri!$B$5)+FerrGriglia!L3+Coefficienti!$B$11*Parametri!$B$6,2)*(1+Parametri!$B$7),2)</f>
        <v/>
      </c>
      <c r="M4" s="4">
        <f>ROUND(ROUND((((Coefficienti!$B$1+Coefficienti!$B$2*M$2+Coefficienti!$B$3*$A4)*Parametri!$B$1+(Coefficienti!$B$4+Coefficienti!$B$5*M$2+Coefficienti!$B$6*$A4)*Parametri!$B$2)*(1-Parametri!$B$3)+((Coefficienti!$B$7+Coefficienti!$B$8*M$2+Coefficienti!$B$9*$A4)+Coefficienti!$B$10)*(1-Parametri!$B$4))*(1+Parametri!$B$5)+FerrGriglia!M3+Coefficienti!$B$11*Parametri!$B$6,2)*(1+Parametri!$B$7),2)</f>
        <v/>
      </c>
      <c r="N4" s="4">
        <f>ROUND(ROUND((((Coefficienti!$B$1+Coefficienti!$B$2*N$2+Coefficienti!$B$3*$A4)*Parametri!$B$1+(Coefficienti!$B$4+Coefficienti!$B$5*N$2+Coefficienti!$B$6*$A4)*Parametri!$B$2)*(1-Parametri!$B$3)+((Coefficienti!$B$7+Coefficienti!$B$8*N$2+Coefficienti!$B$9*$A4)+Coefficienti!$B$10)*(1-Parametri!$B$4))*(1+Parametri!$B$5)+FerrGriglia!N3+Coefficienti!$B$11*Parametri!$B$6,2)*(1+Parametri!$B$7),2)</f>
        <v/>
      </c>
    </row>
    <row r="5">
      <c r="A5" s="2" t="n">
        <v>700</v>
      </c>
      <c r="B5" s="4">
        <f>ROUND(ROUND((((Coefficienti!$B$1+Coefficienti!$B$2*B$2+Coefficienti!$B$3*$A5)*Parametri!$B$1+(Coefficienti!$B$4+Coefficienti!$B$5*B$2+Coefficienti!$B$6*$A5)*Parametri!$B$2)*(1-Parametri!$B$3)+((Coefficienti!$B$7+Coefficienti!$B$8*B$2+Coefficienti!$B$9*$A5)+Coefficienti!$B$10)*(1-Parametri!$B$4))*(1+Parametri!$B$5)+FerrGriglia!B4+Coefficienti!$B$11*Parametri!$B$6,2)*(1+Parametri!$B$7),2)</f>
        <v/>
      </c>
      <c r="C5" s="4">
        <f>ROUND(ROUND((((Coefficienti!$B$1+Coefficienti!$B$2*C$2+Coefficienti!$B$3*$A5)*Parametri!$B$1+(Coefficienti!$B$4+Coefficienti!$B$5*C$2+Coefficienti!$B$6*$A5)*Parametri!$B$2)*(1-Parametri!$B$3)+((Coefficienti!$B$7+Coefficienti!$B$8*C$2+Coefficienti!$B$9*$A5)+Coefficienti!$B$10)*(1-Parametri!$B$4))*(1+Parametri!$B$5)+FerrGriglia!C4+Coefficienti!$B$11*Parametri!$B$6,2)*(1+Parametri!$B$7),2)</f>
        <v/>
      </c>
      <c r="D5" s="4">
        <f>ROUND(ROUND((((Coefficienti!$B$1+Coefficienti!$B$2*D$2+Coefficienti!$B$3*$A5)*Parametri!$B$1+(Coefficienti!$B$4+Coefficienti!$B$5*D$2+Coefficienti!$B$6*$A5)*Parametri!$B$2)*(1-Parametri!$B$3)+((Coefficienti!$B$7+Coefficienti!$B$8*D$2+Coefficienti!$B$9*$A5)+Coefficienti!$B$10)*(1-Parametri!$B$4))*(1+Parametri!$B$5)+FerrGriglia!D4+Coefficienti!$B$11*Parametri!$B$6,2)*(1+Parametri!$B$7),2)</f>
        <v/>
      </c>
      <c r="E5" s="4">
        <f>ROUND(ROUND((((Coefficienti!$B$1+Coefficienti!$B$2*E$2+Coefficienti!$B$3*$A5)*Parametri!$B$1+(Coefficienti!$B$4+Coefficienti!$B$5*E$2+Coefficienti!$B$6*$A5)*Parametri!$B$2)*(1-Parametri!$B$3)+((Coefficienti!$B$7+Coefficienti!$B$8*E$2+Coefficienti!$B$9*$A5)+Coefficienti!$B$10)*(1-Parametri!$B$4))*(1+Parametri!$B$5)+FerrGriglia!E4+Coefficienti!$B$11*Parametri!$B$6,2)*(1+Parametri!$B$7),2)</f>
        <v/>
      </c>
      <c r="F5" s="4">
        <f>ROUND(ROUND((((Coefficienti!$B$1+Coefficienti!$B$2*F$2+Coefficienti!$B$3*$A5)*Parametri!$B$1+(Coefficienti!$B$4+Coefficienti!$B$5*F$2+Coefficienti!$B$6*$A5)*Parametri!$B$2)*(1-Parametri!$B$3)+((Coefficienti!$B$7+Coefficienti!$B$8*F$2+Coefficienti!$B$9*$A5)+Coefficienti!$B$10)*(1-Parametri!$B$4))*(1+Parametri!$B$5)+FerrGriglia!F4+Coefficienti!$B$11*Parametri!$B$6,2)*(1+Parametri!$B$7),2)</f>
        <v/>
      </c>
      <c r="G5" s="4">
        <f>ROUND(ROUND((((Coefficienti!$B$1+Coefficienti!$B$2*G$2+Coefficienti!$B$3*$A5)*Parametri!$B$1+(Coefficienti!$B$4+Coefficienti!$B$5*G$2+Coefficienti!$B$6*$A5)*Parametri!$B$2)*(1-Parametri!$B$3)+((Coefficienti!$B$7+Coefficienti!$B$8*G$2+Coefficienti!$B$9*$A5)+Coefficienti!$B$10)*(1-Parametri!$B$4))*(1+Parametri!$B$5)+FerrGriglia!G4+Coefficienti!$B$11*Parametri!$B$6,2)*(1+Parametri!$B$7),2)</f>
        <v/>
      </c>
      <c r="H5" s="4">
        <f>ROUND(ROUND((((Coefficienti!$B$1+Coefficienti!$B$2*H$2+Coefficienti!$B$3*$A5)*Parametri!$B$1+(Coefficienti!$B$4+Coefficienti!$B$5*H$2+Coefficienti!$B$6*$A5)*Parametri!$B$2)*(1-Parametri!$B$3)+((Coefficienti!$B$7+Coefficienti!$B$8*H$2+Coefficienti!$B$9*$A5)+Coefficienti!$B$10)*(1-Parametri!$B$4))*(1+Parametri!$B$5)+FerrGriglia!H4+Coefficienti!$B$11*Parametri!$B$6,2)*(1+Parametri!$B$7),2)</f>
        <v/>
      </c>
      <c r="I5" s="4">
        <f>ROUND(ROUND((((Coefficienti!$B$1+Coefficienti!$B$2*I$2+Coefficienti!$B$3*$A5)*Parametri!$B$1+(Coefficienti!$B$4+Coefficienti!$B$5*I$2+Coefficienti!$B$6*$A5)*Parametri!$B$2)*(1-Parametri!$B$3)+((Coefficienti!$B$7+Coefficienti!$B$8*I$2+Coefficienti!$B$9*$A5)+Coefficienti!$B$10)*(1-Parametri!$B$4))*(1+Parametri!$B$5)+FerrGriglia!I4+Coefficienti!$B$11*Parametri!$B$6,2)*(1+Parametri!$B$7),2)</f>
        <v/>
      </c>
      <c r="J5" s="4">
        <f>ROUND(ROUND((((Coefficienti!$B$1+Coefficienti!$B$2*J$2+Coefficienti!$B$3*$A5)*Parametri!$B$1+(Coefficienti!$B$4+Coefficienti!$B$5*J$2+Coefficienti!$B$6*$A5)*Parametri!$B$2)*(1-Parametri!$B$3)+((Coefficienti!$B$7+Coefficienti!$B$8*J$2+Coefficienti!$B$9*$A5)+Coefficienti!$B$10)*(1-Parametri!$B$4))*(1+Parametri!$B$5)+FerrGriglia!J4+Coefficienti!$B$11*Parametri!$B$6,2)*(1+Parametri!$B$7),2)</f>
        <v/>
      </c>
      <c r="K5" s="4">
        <f>ROUND(ROUND((((Coefficienti!$B$1+Coefficienti!$B$2*K$2+Coefficienti!$B$3*$A5)*Parametri!$B$1+(Coefficienti!$B$4+Coefficienti!$B$5*K$2+Coefficienti!$B$6*$A5)*Parametri!$B$2)*(1-Parametri!$B$3)+((Coefficienti!$B$7+Coefficienti!$B$8*K$2+Coefficienti!$B$9*$A5)+Coefficienti!$B$10)*(1-Parametri!$B$4))*(1+Parametri!$B$5)+FerrGriglia!K4+Coefficienti!$B$11*Parametri!$B$6,2)*(1+Parametri!$B$7),2)</f>
        <v/>
      </c>
      <c r="L5" s="4">
        <f>ROUND(ROUND((((Coefficienti!$B$1+Coefficienti!$B$2*L$2+Coefficienti!$B$3*$A5)*Parametri!$B$1+(Coefficienti!$B$4+Coefficienti!$B$5*L$2+Coefficienti!$B$6*$A5)*Parametri!$B$2)*(1-Parametri!$B$3)+((Coefficienti!$B$7+Coefficienti!$B$8*L$2+Coefficienti!$B$9*$A5)+Coefficienti!$B$10)*(1-Parametri!$B$4))*(1+Parametri!$B$5)+FerrGriglia!L4+Coefficienti!$B$11*Parametri!$B$6,2)*(1+Parametri!$B$7),2)</f>
        <v/>
      </c>
      <c r="M5" s="4">
        <f>ROUND(ROUND((((Coefficienti!$B$1+Coefficienti!$B$2*M$2+Coefficienti!$B$3*$A5)*Parametri!$B$1+(Coefficienti!$B$4+Coefficienti!$B$5*M$2+Coefficienti!$B$6*$A5)*Parametri!$B$2)*(1-Parametri!$B$3)+((Coefficienti!$B$7+Coefficienti!$B$8*M$2+Coefficienti!$B$9*$A5)+Coefficienti!$B$10)*(1-Parametri!$B$4))*(1+Parametri!$B$5)+FerrGriglia!M4+Coefficienti!$B$11*Parametri!$B$6,2)*(1+Parametri!$B$7),2)</f>
        <v/>
      </c>
      <c r="N5" s="4">
        <f>ROUND(ROUND((((Coefficienti!$B$1+Coefficienti!$B$2*N$2+Coefficienti!$B$3*$A5)*Parametri!$B$1+(Coefficienti!$B$4+Coefficienti!$B$5*N$2+Coefficienti!$B$6*$A5)*Parametri!$B$2)*(1-Parametri!$B$3)+((Coefficienti!$B$7+Coefficienti!$B$8*N$2+Coefficienti!$B$9*$A5)+Coefficienti!$B$10)*(1-Parametri!$B$4))*(1+Parametri!$B$5)+FerrGriglia!N4+Coefficienti!$B$11*Parametri!$B$6,2)*(1+Parametri!$B$7),2)</f>
        <v/>
      </c>
    </row>
    <row r="6">
      <c r="A6" s="2" t="n">
        <v>800</v>
      </c>
      <c r="B6" s="4">
        <f>ROUND(ROUND((((Coefficienti!$B$1+Coefficienti!$B$2*B$2+Coefficienti!$B$3*$A6)*Parametri!$B$1+(Coefficienti!$B$4+Coefficienti!$B$5*B$2+Coefficienti!$B$6*$A6)*Parametri!$B$2)*(1-Parametri!$B$3)+((Coefficienti!$B$7+Coefficienti!$B$8*B$2+Coefficienti!$B$9*$A6)+Coefficienti!$B$10)*(1-Parametri!$B$4))*(1+Parametri!$B$5)+FerrGriglia!B5+Coefficienti!$B$11*Parametri!$B$6,2)*(1+Parametri!$B$7),2)</f>
        <v/>
      </c>
      <c r="C6" s="4">
        <f>ROUND(ROUND((((Coefficienti!$B$1+Coefficienti!$B$2*C$2+Coefficienti!$B$3*$A6)*Parametri!$B$1+(Coefficienti!$B$4+Coefficienti!$B$5*C$2+Coefficienti!$B$6*$A6)*Parametri!$B$2)*(1-Parametri!$B$3)+((Coefficienti!$B$7+Coefficienti!$B$8*C$2+Coefficienti!$B$9*$A6)+Coefficienti!$B$10)*(1-Parametri!$B$4))*(1+Parametri!$B$5)+FerrGriglia!C5+Coefficienti!$B$11*Parametri!$B$6,2)*(1+Parametri!$B$7),2)</f>
        <v/>
      </c>
      <c r="D6" s="4">
        <f>ROUND(ROUND((((Coefficienti!$B$1+Coefficienti!$B$2*D$2+Coefficienti!$B$3*$A6)*Parametri!$B$1+(Coefficienti!$B$4+Coefficienti!$B$5*D$2+Coefficienti!$B$6*$A6)*Parametri!$B$2)*(1-Parametri!$B$3)+((Coefficienti!$B$7+Coefficienti!$B$8*D$2+Coefficienti!$B$9*$A6)+Coefficienti!$B$10)*(1-Parametri!$B$4))*(1+Parametri!$B$5)+FerrGriglia!D5+Coefficienti!$B$11*Parametri!$B$6,2)*(1+Parametri!$B$7),2)</f>
        <v/>
      </c>
      <c r="E6" s="4">
        <f>ROUND(ROUND((((Coefficienti!$B$1+Coefficienti!$B$2*E$2+Coefficienti!$B$3*$A6)*Parametri!$B$1+(Coefficienti!$B$4+Coefficienti!$B$5*E$2+Coefficienti!$B$6*$A6)*Parametri!$B$2)*(1-Parametri!$B$3)+((Coefficienti!$B$7+Coefficienti!$B$8*E$2+Coefficienti!$B$9*$A6)+Coefficienti!$B$10)*(1-Parametri!$B$4))*(1+Parametri!$B$5)+FerrGriglia!E5+Coefficienti!$B$11*Parametri!$B$6,2)*(1+Parametri!$B$7),2)</f>
        <v/>
      </c>
      <c r="F6" s="4">
        <f>ROUND(ROUND((((Coefficienti!$B$1+Coefficienti!$B$2*F$2+Coefficienti!$B$3*$A6)*Parametri!$B$1+(Coefficienti!$B$4+Coefficienti!$B$5*F$2+Coefficienti!$B$6*$A6)*Parametri!$B$2)*(1-Parametri!$B$3)+((Coefficienti!$B$7+Coefficienti!$B$8*F$2+Coefficienti!$B$9*$A6)+Coefficienti!$B$10)*(1-Parametri!$B$4))*(1+Parametri!$B$5)+FerrGriglia!F5+Coefficienti!$B$11*Parametri!$B$6,2)*(1+Parametri!$B$7),2)</f>
        <v/>
      </c>
      <c r="G6" s="4">
        <f>ROUND(ROUND((((Coefficienti!$B$1+Coefficienti!$B$2*G$2+Coefficienti!$B$3*$A6)*Parametri!$B$1+(Coefficienti!$B$4+Coefficienti!$B$5*G$2+Coefficienti!$B$6*$A6)*Parametri!$B$2)*(1-Parametri!$B$3)+((Coefficienti!$B$7+Coefficienti!$B$8*G$2+Coefficienti!$B$9*$A6)+Coefficienti!$B$10)*(1-Parametri!$B$4))*(1+Parametri!$B$5)+FerrGriglia!G5+Coefficienti!$B$11*Parametri!$B$6,2)*(1+Parametri!$B$7),2)</f>
        <v/>
      </c>
      <c r="H6" s="4">
        <f>ROUND(ROUND((((Coefficienti!$B$1+Coefficienti!$B$2*H$2+Coefficienti!$B$3*$A6)*Parametri!$B$1+(Coefficienti!$B$4+Coefficienti!$B$5*H$2+Coefficienti!$B$6*$A6)*Parametri!$B$2)*(1-Parametri!$B$3)+((Coefficienti!$B$7+Coefficienti!$B$8*H$2+Coefficienti!$B$9*$A6)+Coefficienti!$B$10)*(1-Parametri!$B$4))*(1+Parametri!$B$5)+FerrGriglia!H5+Coefficienti!$B$11*Parametri!$B$6,2)*(1+Parametri!$B$7),2)</f>
        <v/>
      </c>
      <c r="I6" s="4">
        <f>ROUND(ROUND((((Coefficienti!$B$1+Coefficienti!$B$2*I$2+Coefficienti!$B$3*$A6)*Parametri!$B$1+(Coefficienti!$B$4+Coefficienti!$B$5*I$2+Coefficienti!$B$6*$A6)*Parametri!$B$2)*(1-Parametri!$B$3)+((Coefficienti!$B$7+Coefficienti!$B$8*I$2+Coefficienti!$B$9*$A6)+Coefficienti!$B$10)*(1-Parametri!$B$4))*(1+Parametri!$B$5)+FerrGriglia!I5+Coefficienti!$B$11*Parametri!$B$6,2)*(1+Parametri!$B$7),2)</f>
        <v/>
      </c>
      <c r="J6" s="4">
        <f>ROUND(ROUND((((Coefficienti!$B$1+Coefficienti!$B$2*J$2+Coefficienti!$B$3*$A6)*Parametri!$B$1+(Coefficienti!$B$4+Coefficienti!$B$5*J$2+Coefficienti!$B$6*$A6)*Parametri!$B$2)*(1-Parametri!$B$3)+((Coefficienti!$B$7+Coefficienti!$B$8*J$2+Coefficienti!$B$9*$A6)+Coefficienti!$B$10)*(1-Parametri!$B$4))*(1+Parametri!$B$5)+FerrGriglia!J5+Coefficienti!$B$11*Parametri!$B$6,2)*(1+Parametri!$B$7),2)</f>
        <v/>
      </c>
      <c r="K6" s="4">
        <f>ROUND(ROUND((((Coefficienti!$B$1+Coefficienti!$B$2*K$2+Coefficienti!$B$3*$A6)*Parametri!$B$1+(Coefficienti!$B$4+Coefficienti!$B$5*K$2+Coefficienti!$B$6*$A6)*Parametri!$B$2)*(1-Parametri!$B$3)+((Coefficienti!$B$7+Coefficienti!$B$8*K$2+Coefficienti!$B$9*$A6)+Coefficienti!$B$10)*(1-Parametri!$B$4))*(1+Parametri!$B$5)+FerrGriglia!K5+Coefficienti!$B$11*Parametri!$B$6,2)*(1+Parametri!$B$7),2)</f>
        <v/>
      </c>
      <c r="L6" s="4">
        <f>ROUND(ROUND((((Coefficienti!$B$1+Coefficienti!$B$2*L$2+Coefficienti!$B$3*$A6)*Parametri!$B$1+(Coefficienti!$B$4+Coefficienti!$B$5*L$2+Coefficienti!$B$6*$A6)*Parametri!$B$2)*(1-Parametri!$B$3)+((Coefficienti!$B$7+Coefficienti!$B$8*L$2+Coefficienti!$B$9*$A6)+Coefficienti!$B$10)*(1-Parametri!$B$4))*(1+Parametri!$B$5)+FerrGriglia!L5+Coefficienti!$B$11*Parametri!$B$6,2)*(1+Parametri!$B$7),2)</f>
        <v/>
      </c>
      <c r="M6" s="4">
        <f>ROUND(ROUND((((Coefficienti!$B$1+Coefficienti!$B$2*M$2+Coefficienti!$B$3*$A6)*Parametri!$B$1+(Coefficienti!$B$4+Coefficienti!$B$5*M$2+Coefficienti!$B$6*$A6)*Parametri!$B$2)*(1-Parametri!$B$3)+((Coefficienti!$B$7+Coefficienti!$B$8*M$2+Coefficienti!$B$9*$A6)+Coefficienti!$B$10)*(1-Parametri!$B$4))*(1+Parametri!$B$5)+FerrGriglia!M5+Coefficienti!$B$11*Parametri!$B$6,2)*(1+Parametri!$B$7),2)</f>
        <v/>
      </c>
      <c r="N6" s="4">
        <f>ROUND(ROUND((((Coefficienti!$B$1+Coefficienti!$B$2*N$2+Coefficienti!$B$3*$A6)*Parametri!$B$1+(Coefficienti!$B$4+Coefficienti!$B$5*N$2+Coefficienti!$B$6*$A6)*Parametri!$B$2)*(1-Parametri!$B$3)+((Coefficienti!$B$7+Coefficienti!$B$8*N$2+Coefficienti!$B$9*$A6)+Coefficienti!$B$10)*(1-Parametri!$B$4))*(1+Parametri!$B$5)+FerrGriglia!N5+Coefficienti!$B$11*Parametri!$B$6,2)*(1+Parametri!$B$7),2)</f>
        <v/>
      </c>
    </row>
    <row r="7">
      <c r="A7" s="2" t="n">
        <v>900</v>
      </c>
      <c r="B7" s="4">
        <f>ROUND(ROUND((((Coefficienti!$B$1+Coefficienti!$B$2*B$2+Coefficienti!$B$3*$A7)*Parametri!$B$1+(Coefficienti!$B$4+Coefficienti!$B$5*B$2+Coefficienti!$B$6*$A7)*Parametri!$B$2)*(1-Parametri!$B$3)+((Coefficienti!$B$7+Coefficienti!$B$8*B$2+Coefficienti!$B$9*$A7)+Coefficienti!$B$10)*(1-Parametri!$B$4))*(1+Parametri!$B$5)+FerrGriglia!B6+Coefficienti!$B$11*Parametri!$B$6,2)*(1+Parametri!$B$7),2)</f>
        <v/>
      </c>
      <c r="C7" s="4">
        <f>ROUND(ROUND((((Coefficienti!$B$1+Coefficienti!$B$2*C$2+Coefficienti!$B$3*$A7)*Parametri!$B$1+(Coefficienti!$B$4+Coefficienti!$B$5*C$2+Coefficienti!$B$6*$A7)*Parametri!$B$2)*(1-Parametri!$B$3)+((Coefficienti!$B$7+Coefficienti!$B$8*C$2+Coefficienti!$B$9*$A7)+Coefficienti!$B$10)*(1-Parametri!$B$4))*(1+Parametri!$B$5)+FerrGriglia!C6+Coefficienti!$B$11*Parametri!$B$6,2)*(1+Parametri!$B$7),2)</f>
        <v/>
      </c>
      <c r="D7" s="4">
        <f>ROUND(ROUND((((Coefficienti!$B$1+Coefficienti!$B$2*D$2+Coefficienti!$B$3*$A7)*Parametri!$B$1+(Coefficienti!$B$4+Coefficienti!$B$5*D$2+Coefficienti!$B$6*$A7)*Parametri!$B$2)*(1-Parametri!$B$3)+((Coefficienti!$B$7+Coefficienti!$B$8*D$2+Coefficienti!$B$9*$A7)+Coefficienti!$B$10)*(1-Parametri!$B$4))*(1+Parametri!$B$5)+FerrGriglia!D6+Coefficienti!$B$11*Parametri!$B$6,2)*(1+Parametri!$B$7),2)</f>
        <v/>
      </c>
      <c r="E7" s="4">
        <f>ROUND(ROUND((((Coefficienti!$B$1+Coefficienti!$B$2*E$2+Coefficienti!$B$3*$A7)*Parametri!$B$1+(Coefficienti!$B$4+Coefficienti!$B$5*E$2+Coefficienti!$B$6*$A7)*Parametri!$B$2)*(1-Parametri!$B$3)+((Coefficienti!$B$7+Coefficienti!$B$8*E$2+Coefficienti!$B$9*$A7)+Coefficienti!$B$10)*(1-Parametri!$B$4))*(1+Parametri!$B$5)+FerrGriglia!E6+Coefficienti!$B$11*Parametri!$B$6,2)*(1+Parametri!$B$7),2)</f>
        <v/>
      </c>
      <c r="F7" s="4">
        <f>ROUND(ROUND((((Coefficienti!$B$1+Coefficienti!$B$2*F$2+Coefficienti!$B$3*$A7)*Parametri!$B$1+(Coefficienti!$B$4+Coefficienti!$B$5*F$2+Coefficienti!$B$6*$A7)*Parametri!$B$2)*(1-Parametri!$B$3)+((Coefficienti!$B$7+Coefficienti!$B$8*F$2+Coefficienti!$B$9*$A7)+Coefficienti!$B$10)*(1-Parametri!$B$4))*(1+Parametri!$B$5)+FerrGriglia!F6+Coefficienti!$B$11*Parametri!$B$6,2)*(1+Parametri!$B$7),2)</f>
        <v/>
      </c>
      <c r="G7" s="4">
        <f>ROUND(ROUND((((Coefficienti!$B$1+Coefficienti!$B$2*G$2+Coefficienti!$B$3*$A7)*Parametri!$B$1+(Coefficienti!$B$4+Coefficienti!$B$5*G$2+Coefficienti!$B$6*$A7)*Parametri!$B$2)*(1-Parametri!$B$3)+((Coefficienti!$B$7+Coefficienti!$B$8*G$2+Coefficienti!$B$9*$A7)+Coefficienti!$B$10)*(1-Parametri!$B$4))*(1+Parametri!$B$5)+FerrGriglia!G6+Coefficienti!$B$11*Parametri!$B$6,2)*(1+Parametri!$B$7),2)</f>
        <v/>
      </c>
      <c r="H7" s="4">
        <f>ROUND(ROUND((((Coefficienti!$B$1+Coefficienti!$B$2*H$2+Coefficienti!$B$3*$A7)*Parametri!$B$1+(Coefficienti!$B$4+Coefficienti!$B$5*H$2+Coefficienti!$B$6*$A7)*Parametri!$B$2)*(1-Parametri!$B$3)+((Coefficienti!$B$7+Coefficienti!$B$8*H$2+Coefficienti!$B$9*$A7)+Coefficienti!$B$10)*(1-Parametri!$B$4))*(1+Parametri!$B$5)+FerrGriglia!H6+Coefficienti!$B$11*Parametri!$B$6,2)*(1+Parametri!$B$7),2)</f>
        <v/>
      </c>
      <c r="I7" s="4">
        <f>ROUND(ROUND((((Coefficienti!$B$1+Coefficienti!$B$2*I$2+Coefficienti!$B$3*$A7)*Parametri!$B$1+(Coefficienti!$B$4+Coefficienti!$B$5*I$2+Coefficienti!$B$6*$A7)*Parametri!$B$2)*(1-Parametri!$B$3)+((Coefficienti!$B$7+Coefficienti!$B$8*I$2+Coefficienti!$B$9*$A7)+Coefficienti!$B$10)*(1-Parametri!$B$4))*(1+Parametri!$B$5)+FerrGriglia!I6+Coefficienti!$B$11*Parametri!$B$6,2)*(1+Parametri!$B$7),2)</f>
        <v/>
      </c>
      <c r="J7" s="4">
        <f>ROUND(ROUND((((Coefficienti!$B$1+Coefficienti!$B$2*J$2+Coefficienti!$B$3*$A7)*Parametri!$B$1+(Coefficienti!$B$4+Coefficienti!$B$5*J$2+Coefficienti!$B$6*$A7)*Parametri!$B$2)*(1-Parametri!$B$3)+((Coefficienti!$B$7+Coefficienti!$B$8*J$2+Coefficienti!$B$9*$A7)+Coefficienti!$B$10)*(1-Parametri!$B$4))*(1+Parametri!$B$5)+FerrGriglia!J6+Coefficienti!$B$11*Parametri!$B$6,2)*(1+Parametri!$B$7),2)</f>
        <v/>
      </c>
      <c r="K7" s="4">
        <f>ROUND(ROUND((((Coefficienti!$B$1+Coefficienti!$B$2*K$2+Coefficienti!$B$3*$A7)*Parametri!$B$1+(Coefficienti!$B$4+Coefficienti!$B$5*K$2+Coefficienti!$B$6*$A7)*Parametri!$B$2)*(1-Parametri!$B$3)+((Coefficienti!$B$7+Coefficienti!$B$8*K$2+Coefficienti!$B$9*$A7)+Coefficienti!$B$10)*(1-Parametri!$B$4))*(1+Parametri!$B$5)+FerrGriglia!K6+Coefficienti!$B$11*Parametri!$B$6,2)*(1+Parametri!$B$7),2)</f>
        <v/>
      </c>
      <c r="L7" s="4">
        <f>ROUND(ROUND((((Coefficienti!$B$1+Coefficienti!$B$2*L$2+Coefficienti!$B$3*$A7)*Parametri!$B$1+(Coefficienti!$B$4+Coefficienti!$B$5*L$2+Coefficienti!$B$6*$A7)*Parametri!$B$2)*(1-Parametri!$B$3)+((Coefficienti!$B$7+Coefficienti!$B$8*L$2+Coefficienti!$B$9*$A7)+Coefficienti!$B$10)*(1-Parametri!$B$4))*(1+Parametri!$B$5)+FerrGriglia!L6+Coefficienti!$B$11*Parametri!$B$6,2)*(1+Parametri!$B$7),2)</f>
        <v/>
      </c>
      <c r="M7" s="4">
        <f>ROUND(ROUND((((Coefficienti!$B$1+Coefficienti!$B$2*M$2+Coefficienti!$B$3*$A7)*Parametri!$B$1+(Coefficienti!$B$4+Coefficienti!$B$5*M$2+Coefficienti!$B$6*$A7)*Parametri!$B$2)*(1-Parametri!$B$3)+((Coefficienti!$B$7+Coefficienti!$B$8*M$2+Coefficienti!$B$9*$A7)+Coefficienti!$B$10)*(1-Parametri!$B$4))*(1+Parametri!$B$5)+FerrGriglia!M6+Coefficienti!$B$11*Parametri!$B$6,2)*(1+Parametri!$B$7),2)</f>
        <v/>
      </c>
      <c r="N7" s="4">
        <f>ROUND(ROUND((((Coefficienti!$B$1+Coefficienti!$B$2*N$2+Coefficienti!$B$3*$A7)*Parametri!$B$1+(Coefficienti!$B$4+Coefficienti!$B$5*N$2+Coefficienti!$B$6*$A7)*Parametri!$B$2)*(1-Parametri!$B$3)+((Coefficienti!$B$7+Coefficienti!$B$8*N$2+Coefficienti!$B$9*$A7)+Coefficienti!$B$10)*(1-Parametri!$B$4))*(1+Parametri!$B$5)+FerrGriglia!N6+Coefficienti!$B$11*Parametri!$B$6,2)*(1+Parametri!$B$7),2)</f>
        <v/>
      </c>
    </row>
    <row r="8">
      <c r="A8" s="2" t="n">
        <v>1000</v>
      </c>
      <c r="B8" s="4">
        <f>ROUND(ROUND((((Coefficienti!$B$1+Coefficienti!$B$2*B$2+Coefficienti!$B$3*$A8)*Parametri!$B$1+(Coefficienti!$B$4+Coefficienti!$B$5*B$2+Coefficienti!$B$6*$A8)*Parametri!$B$2)*(1-Parametri!$B$3)+((Coefficienti!$B$7+Coefficienti!$B$8*B$2+Coefficienti!$B$9*$A8)+Coefficienti!$B$10)*(1-Parametri!$B$4))*(1+Parametri!$B$5)+FerrGriglia!B7+Coefficienti!$B$11*Parametri!$B$6,2)*(1+Parametri!$B$7),2)</f>
        <v/>
      </c>
      <c r="C8" s="4">
        <f>ROUND(ROUND((((Coefficienti!$B$1+Coefficienti!$B$2*C$2+Coefficienti!$B$3*$A8)*Parametri!$B$1+(Coefficienti!$B$4+Coefficienti!$B$5*C$2+Coefficienti!$B$6*$A8)*Parametri!$B$2)*(1-Parametri!$B$3)+((Coefficienti!$B$7+Coefficienti!$B$8*C$2+Coefficienti!$B$9*$A8)+Coefficienti!$B$10)*(1-Parametri!$B$4))*(1+Parametri!$B$5)+FerrGriglia!C7+Coefficienti!$B$11*Parametri!$B$6,2)*(1+Parametri!$B$7),2)</f>
        <v/>
      </c>
      <c r="D8" s="4">
        <f>ROUND(ROUND((((Coefficienti!$B$1+Coefficienti!$B$2*D$2+Coefficienti!$B$3*$A8)*Parametri!$B$1+(Coefficienti!$B$4+Coefficienti!$B$5*D$2+Coefficienti!$B$6*$A8)*Parametri!$B$2)*(1-Parametri!$B$3)+((Coefficienti!$B$7+Coefficienti!$B$8*D$2+Coefficienti!$B$9*$A8)+Coefficienti!$B$10)*(1-Parametri!$B$4))*(1+Parametri!$B$5)+FerrGriglia!D7+Coefficienti!$B$11*Parametri!$B$6,2)*(1+Parametri!$B$7),2)</f>
        <v/>
      </c>
      <c r="E8" s="4">
        <f>ROUND(ROUND((((Coefficienti!$B$1+Coefficienti!$B$2*E$2+Coefficienti!$B$3*$A8)*Parametri!$B$1+(Coefficienti!$B$4+Coefficienti!$B$5*E$2+Coefficienti!$B$6*$A8)*Parametri!$B$2)*(1-Parametri!$B$3)+((Coefficienti!$B$7+Coefficienti!$B$8*E$2+Coefficienti!$B$9*$A8)+Coefficienti!$B$10)*(1-Parametri!$B$4))*(1+Parametri!$B$5)+FerrGriglia!E7+Coefficienti!$B$11*Parametri!$B$6,2)*(1+Parametri!$B$7),2)</f>
        <v/>
      </c>
      <c r="F8" s="4">
        <f>ROUND(ROUND((((Coefficienti!$B$1+Coefficienti!$B$2*F$2+Coefficienti!$B$3*$A8)*Parametri!$B$1+(Coefficienti!$B$4+Coefficienti!$B$5*F$2+Coefficienti!$B$6*$A8)*Parametri!$B$2)*(1-Parametri!$B$3)+((Coefficienti!$B$7+Coefficienti!$B$8*F$2+Coefficienti!$B$9*$A8)+Coefficienti!$B$10)*(1-Parametri!$B$4))*(1+Parametri!$B$5)+FerrGriglia!F7+Coefficienti!$B$11*Parametri!$B$6,2)*(1+Parametri!$B$7),2)</f>
        <v/>
      </c>
      <c r="G8" s="4">
        <f>ROUND(ROUND((((Coefficienti!$B$1+Coefficienti!$B$2*G$2+Coefficienti!$B$3*$A8)*Parametri!$B$1+(Coefficienti!$B$4+Coefficienti!$B$5*G$2+Coefficienti!$B$6*$A8)*Parametri!$B$2)*(1-Parametri!$B$3)+((Coefficienti!$B$7+Coefficienti!$B$8*G$2+Coefficienti!$B$9*$A8)+Coefficienti!$B$10)*(1-Parametri!$B$4))*(1+Parametri!$B$5)+FerrGriglia!G7+Coefficienti!$B$11*Parametri!$B$6,2)*(1+Parametri!$B$7),2)</f>
        <v/>
      </c>
      <c r="H8" s="4">
        <f>ROUND(ROUND((((Coefficienti!$B$1+Coefficienti!$B$2*H$2+Coefficienti!$B$3*$A8)*Parametri!$B$1+(Coefficienti!$B$4+Coefficienti!$B$5*H$2+Coefficienti!$B$6*$A8)*Parametri!$B$2)*(1-Parametri!$B$3)+((Coefficienti!$B$7+Coefficienti!$B$8*H$2+Coefficienti!$B$9*$A8)+Coefficienti!$B$10)*(1-Parametri!$B$4))*(1+Parametri!$B$5)+FerrGriglia!H7+Coefficienti!$B$11*Parametri!$B$6,2)*(1+Parametri!$B$7),2)</f>
        <v/>
      </c>
      <c r="I8" s="4">
        <f>ROUND(ROUND((((Coefficienti!$B$1+Coefficienti!$B$2*I$2+Coefficienti!$B$3*$A8)*Parametri!$B$1+(Coefficienti!$B$4+Coefficienti!$B$5*I$2+Coefficienti!$B$6*$A8)*Parametri!$B$2)*(1-Parametri!$B$3)+((Coefficienti!$B$7+Coefficienti!$B$8*I$2+Coefficienti!$B$9*$A8)+Coefficienti!$B$10)*(1-Parametri!$B$4))*(1+Parametri!$B$5)+FerrGriglia!I7+Coefficienti!$B$11*Parametri!$B$6,2)*(1+Parametri!$B$7),2)</f>
        <v/>
      </c>
      <c r="J8" s="4">
        <f>ROUND(ROUND((((Coefficienti!$B$1+Coefficienti!$B$2*J$2+Coefficienti!$B$3*$A8)*Parametri!$B$1+(Coefficienti!$B$4+Coefficienti!$B$5*J$2+Coefficienti!$B$6*$A8)*Parametri!$B$2)*(1-Parametri!$B$3)+((Coefficienti!$B$7+Coefficienti!$B$8*J$2+Coefficienti!$B$9*$A8)+Coefficienti!$B$10)*(1-Parametri!$B$4))*(1+Parametri!$B$5)+FerrGriglia!J7+Coefficienti!$B$11*Parametri!$B$6,2)*(1+Parametri!$B$7),2)</f>
        <v/>
      </c>
      <c r="K8" s="4">
        <f>ROUND(ROUND((((Coefficienti!$B$1+Coefficienti!$B$2*K$2+Coefficienti!$B$3*$A8)*Parametri!$B$1+(Coefficienti!$B$4+Coefficienti!$B$5*K$2+Coefficienti!$B$6*$A8)*Parametri!$B$2)*(1-Parametri!$B$3)+((Coefficienti!$B$7+Coefficienti!$B$8*K$2+Coefficienti!$B$9*$A8)+Coefficienti!$B$10)*(1-Parametri!$B$4))*(1+Parametri!$B$5)+FerrGriglia!K7+Coefficienti!$B$11*Parametri!$B$6,2)*(1+Parametri!$B$7),2)</f>
        <v/>
      </c>
      <c r="L8" s="4">
        <f>ROUND(ROUND((((Coefficienti!$B$1+Coefficienti!$B$2*L$2+Coefficienti!$B$3*$A8)*Parametri!$B$1+(Coefficienti!$B$4+Coefficienti!$B$5*L$2+Coefficienti!$B$6*$A8)*Parametri!$B$2)*(1-Parametri!$B$3)+((Coefficienti!$B$7+Coefficienti!$B$8*L$2+Coefficienti!$B$9*$A8)+Coefficienti!$B$10)*(1-Parametri!$B$4))*(1+Parametri!$B$5)+FerrGriglia!L7+Coefficienti!$B$11*Parametri!$B$6,2)*(1+Parametri!$B$7),2)</f>
        <v/>
      </c>
      <c r="M8" s="4">
        <f>ROUND(ROUND((((Coefficienti!$B$1+Coefficienti!$B$2*M$2+Coefficienti!$B$3*$A8)*Parametri!$B$1+(Coefficienti!$B$4+Coefficienti!$B$5*M$2+Coefficienti!$B$6*$A8)*Parametri!$B$2)*(1-Parametri!$B$3)+((Coefficienti!$B$7+Coefficienti!$B$8*M$2+Coefficienti!$B$9*$A8)+Coefficienti!$B$10)*(1-Parametri!$B$4))*(1+Parametri!$B$5)+FerrGriglia!M7+Coefficienti!$B$11*Parametri!$B$6,2)*(1+Parametri!$B$7),2)</f>
        <v/>
      </c>
      <c r="N8" s="4">
        <f>ROUND(ROUND((((Coefficienti!$B$1+Coefficienti!$B$2*N$2+Coefficienti!$B$3*$A8)*Parametri!$B$1+(Coefficienti!$B$4+Coefficienti!$B$5*N$2+Coefficienti!$B$6*$A8)*Parametri!$B$2)*(1-Parametri!$B$3)+((Coefficienti!$B$7+Coefficienti!$B$8*N$2+Coefficienti!$B$9*$A8)+Coefficienti!$B$10)*(1-Parametri!$B$4))*(1+Parametri!$B$5)+FerrGriglia!N7+Coefficienti!$B$11*Parametri!$B$6,2)*(1+Parametri!$B$7),2)</f>
        <v/>
      </c>
    </row>
    <row r="9">
      <c r="A9" s="2" t="n">
        <v>1100</v>
      </c>
      <c r="B9" s="4">
        <f>ROUND(ROUND((((Coefficienti!$B$1+Coefficienti!$B$2*B$2+Coefficienti!$B$3*$A9)*Parametri!$B$1+(Coefficienti!$B$4+Coefficienti!$B$5*B$2+Coefficienti!$B$6*$A9)*Parametri!$B$2)*(1-Parametri!$B$3)+((Coefficienti!$B$7+Coefficienti!$B$8*B$2+Coefficienti!$B$9*$A9)+Coefficienti!$B$10)*(1-Parametri!$B$4))*(1+Parametri!$B$5)+FerrGriglia!B8+Coefficienti!$B$11*Parametri!$B$6,2)*(1+Parametri!$B$7),2)</f>
        <v/>
      </c>
      <c r="C9" s="4">
        <f>ROUND(ROUND((((Coefficienti!$B$1+Coefficienti!$B$2*C$2+Coefficienti!$B$3*$A9)*Parametri!$B$1+(Coefficienti!$B$4+Coefficienti!$B$5*C$2+Coefficienti!$B$6*$A9)*Parametri!$B$2)*(1-Parametri!$B$3)+((Coefficienti!$B$7+Coefficienti!$B$8*C$2+Coefficienti!$B$9*$A9)+Coefficienti!$B$10)*(1-Parametri!$B$4))*(1+Parametri!$B$5)+FerrGriglia!C8+Coefficienti!$B$11*Parametri!$B$6,2)*(1+Parametri!$B$7),2)</f>
        <v/>
      </c>
      <c r="D9" s="4">
        <f>ROUND(ROUND((((Coefficienti!$B$1+Coefficienti!$B$2*D$2+Coefficienti!$B$3*$A9)*Parametri!$B$1+(Coefficienti!$B$4+Coefficienti!$B$5*D$2+Coefficienti!$B$6*$A9)*Parametri!$B$2)*(1-Parametri!$B$3)+((Coefficienti!$B$7+Coefficienti!$B$8*D$2+Coefficienti!$B$9*$A9)+Coefficienti!$B$10)*(1-Parametri!$B$4))*(1+Parametri!$B$5)+FerrGriglia!D8+Coefficienti!$B$11*Parametri!$B$6,2)*(1+Parametri!$B$7),2)</f>
        <v/>
      </c>
      <c r="E9" s="4">
        <f>ROUND(ROUND((((Coefficienti!$B$1+Coefficienti!$B$2*E$2+Coefficienti!$B$3*$A9)*Parametri!$B$1+(Coefficienti!$B$4+Coefficienti!$B$5*E$2+Coefficienti!$B$6*$A9)*Parametri!$B$2)*(1-Parametri!$B$3)+((Coefficienti!$B$7+Coefficienti!$B$8*E$2+Coefficienti!$B$9*$A9)+Coefficienti!$B$10)*(1-Parametri!$B$4))*(1+Parametri!$B$5)+FerrGriglia!E8+Coefficienti!$B$11*Parametri!$B$6,2)*(1+Parametri!$B$7),2)</f>
        <v/>
      </c>
      <c r="F9" s="4">
        <f>ROUND(ROUND((((Coefficienti!$B$1+Coefficienti!$B$2*F$2+Coefficienti!$B$3*$A9)*Parametri!$B$1+(Coefficienti!$B$4+Coefficienti!$B$5*F$2+Coefficienti!$B$6*$A9)*Parametri!$B$2)*(1-Parametri!$B$3)+((Coefficienti!$B$7+Coefficienti!$B$8*F$2+Coefficienti!$B$9*$A9)+Coefficienti!$B$10)*(1-Parametri!$B$4))*(1+Parametri!$B$5)+FerrGriglia!F8+Coefficienti!$B$11*Parametri!$B$6,2)*(1+Parametri!$B$7),2)</f>
        <v/>
      </c>
      <c r="G9" s="4">
        <f>ROUND(ROUND((((Coefficienti!$B$1+Coefficienti!$B$2*G$2+Coefficienti!$B$3*$A9)*Parametri!$B$1+(Coefficienti!$B$4+Coefficienti!$B$5*G$2+Coefficienti!$B$6*$A9)*Parametri!$B$2)*(1-Parametri!$B$3)+((Coefficienti!$B$7+Coefficienti!$B$8*G$2+Coefficienti!$B$9*$A9)+Coefficienti!$B$10)*(1-Parametri!$B$4))*(1+Parametri!$B$5)+FerrGriglia!G8+Coefficienti!$B$11*Parametri!$B$6,2)*(1+Parametri!$B$7),2)</f>
        <v/>
      </c>
      <c r="H9" s="4">
        <f>ROUND(ROUND((((Coefficienti!$B$1+Coefficienti!$B$2*H$2+Coefficienti!$B$3*$A9)*Parametri!$B$1+(Coefficienti!$B$4+Coefficienti!$B$5*H$2+Coefficienti!$B$6*$A9)*Parametri!$B$2)*(1-Parametri!$B$3)+((Coefficienti!$B$7+Coefficienti!$B$8*H$2+Coefficienti!$B$9*$A9)+Coefficienti!$B$10)*(1-Parametri!$B$4))*(1+Parametri!$B$5)+FerrGriglia!H8+Coefficienti!$B$11*Parametri!$B$6,2)*(1+Parametri!$B$7),2)</f>
        <v/>
      </c>
      <c r="I9" s="4">
        <f>ROUND(ROUND((((Coefficienti!$B$1+Coefficienti!$B$2*I$2+Coefficienti!$B$3*$A9)*Parametri!$B$1+(Coefficienti!$B$4+Coefficienti!$B$5*I$2+Coefficienti!$B$6*$A9)*Parametri!$B$2)*(1-Parametri!$B$3)+((Coefficienti!$B$7+Coefficienti!$B$8*I$2+Coefficienti!$B$9*$A9)+Coefficienti!$B$10)*(1-Parametri!$B$4))*(1+Parametri!$B$5)+FerrGriglia!I8+Coefficienti!$B$11*Parametri!$B$6,2)*(1+Parametri!$B$7),2)</f>
        <v/>
      </c>
      <c r="J9" s="4">
        <f>ROUND(ROUND((((Coefficienti!$B$1+Coefficienti!$B$2*J$2+Coefficienti!$B$3*$A9)*Parametri!$B$1+(Coefficienti!$B$4+Coefficienti!$B$5*J$2+Coefficienti!$B$6*$A9)*Parametri!$B$2)*(1-Parametri!$B$3)+((Coefficienti!$B$7+Coefficienti!$B$8*J$2+Coefficienti!$B$9*$A9)+Coefficienti!$B$10)*(1-Parametri!$B$4))*(1+Parametri!$B$5)+FerrGriglia!J8+Coefficienti!$B$11*Parametri!$B$6,2)*(1+Parametri!$B$7),2)</f>
        <v/>
      </c>
      <c r="K9" s="4">
        <f>ROUND(ROUND((((Coefficienti!$B$1+Coefficienti!$B$2*K$2+Coefficienti!$B$3*$A9)*Parametri!$B$1+(Coefficienti!$B$4+Coefficienti!$B$5*K$2+Coefficienti!$B$6*$A9)*Parametri!$B$2)*(1-Parametri!$B$3)+((Coefficienti!$B$7+Coefficienti!$B$8*K$2+Coefficienti!$B$9*$A9)+Coefficienti!$B$10)*(1-Parametri!$B$4))*(1+Parametri!$B$5)+FerrGriglia!K8+Coefficienti!$B$11*Parametri!$B$6,2)*(1+Parametri!$B$7),2)</f>
        <v/>
      </c>
      <c r="L9" s="4">
        <f>ROUND(ROUND((((Coefficienti!$B$1+Coefficienti!$B$2*L$2+Coefficienti!$B$3*$A9)*Parametri!$B$1+(Coefficienti!$B$4+Coefficienti!$B$5*L$2+Coefficienti!$B$6*$A9)*Parametri!$B$2)*(1-Parametri!$B$3)+((Coefficienti!$B$7+Coefficienti!$B$8*L$2+Coefficienti!$B$9*$A9)+Coefficienti!$B$10)*(1-Parametri!$B$4))*(1+Parametri!$B$5)+FerrGriglia!L8+Coefficienti!$B$11*Parametri!$B$6,2)*(1+Parametri!$B$7),2)</f>
        <v/>
      </c>
      <c r="M9" s="4">
        <f>ROUND(ROUND((((Coefficienti!$B$1+Coefficienti!$B$2*M$2+Coefficienti!$B$3*$A9)*Parametri!$B$1+(Coefficienti!$B$4+Coefficienti!$B$5*M$2+Coefficienti!$B$6*$A9)*Parametri!$B$2)*(1-Parametri!$B$3)+((Coefficienti!$B$7+Coefficienti!$B$8*M$2+Coefficienti!$B$9*$A9)+Coefficienti!$B$10)*(1-Parametri!$B$4))*(1+Parametri!$B$5)+FerrGriglia!M8+Coefficienti!$B$11*Parametri!$B$6,2)*(1+Parametri!$B$7),2)</f>
        <v/>
      </c>
      <c r="N9" s="4">
        <f>ROUND(ROUND((((Coefficienti!$B$1+Coefficienti!$B$2*N$2+Coefficienti!$B$3*$A9)*Parametri!$B$1+(Coefficienti!$B$4+Coefficienti!$B$5*N$2+Coefficienti!$B$6*$A9)*Parametri!$B$2)*(1-Parametri!$B$3)+((Coefficienti!$B$7+Coefficienti!$B$8*N$2+Coefficienti!$B$9*$A9)+Coefficienti!$B$10)*(1-Parametri!$B$4))*(1+Parametri!$B$5)+FerrGriglia!N8+Coefficienti!$B$11*Parametri!$B$6,2)*(1+Parametri!$B$7),2)</f>
        <v/>
      </c>
    </row>
    <row r="10">
      <c r="A10" s="2" t="n">
        <v>1200</v>
      </c>
      <c r="B10" s="4">
        <f>ROUND(ROUND((((Coefficienti!$B$1+Coefficienti!$B$2*B$2+Coefficienti!$B$3*$A10)*Parametri!$B$1+(Coefficienti!$B$4+Coefficienti!$B$5*B$2+Coefficienti!$B$6*$A10)*Parametri!$B$2)*(1-Parametri!$B$3)+((Coefficienti!$B$7+Coefficienti!$B$8*B$2+Coefficienti!$B$9*$A10)+Coefficienti!$B$10)*(1-Parametri!$B$4))*(1+Parametri!$B$5)+FerrGriglia!B9+Coefficienti!$B$11*Parametri!$B$6,2)*(1+Parametri!$B$7),2)</f>
        <v/>
      </c>
      <c r="C10" s="4">
        <f>ROUND(ROUND((((Coefficienti!$B$1+Coefficienti!$B$2*C$2+Coefficienti!$B$3*$A10)*Parametri!$B$1+(Coefficienti!$B$4+Coefficienti!$B$5*C$2+Coefficienti!$B$6*$A10)*Parametri!$B$2)*(1-Parametri!$B$3)+((Coefficienti!$B$7+Coefficienti!$B$8*C$2+Coefficienti!$B$9*$A10)+Coefficienti!$B$10)*(1-Parametri!$B$4))*(1+Parametri!$B$5)+FerrGriglia!C9+Coefficienti!$B$11*Parametri!$B$6,2)*(1+Parametri!$B$7),2)</f>
        <v/>
      </c>
      <c r="D10" s="4">
        <f>ROUND(ROUND((((Coefficienti!$B$1+Coefficienti!$B$2*D$2+Coefficienti!$B$3*$A10)*Parametri!$B$1+(Coefficienti!$B$4+Coefficienti!$B$5*D$2+Coefficienti!$B$6*$A10)*Parametri!$B$2)*(1-Parametri!$B$3)+((Coefficienti!$B$7+Coefficienti!$B$8*D$2+Coefficienti!$B$9*$A10)+Coefficienti!$B$10)*(1-Parametri!$B$4))*(1+Parametri!$B$5)+FerrGriglia!D9+Coefficienti!$B$11*Parametri!$B$6,2)*(1+Parametri!$B$7),2)</f>
        <v/>
      </c>
      <c r="E10" s="4">
        <f>ROUND(ROUND((((Coefficienti!$B$1+Coefficienti!$B$2*E$2+Coefficienti!$B$3*$A10)*Parametri!$B$1+(Coefficienti!$B$4+Coefficienti!$B$5*E$2+Coefficienti!$B$6*$A10)*Parametri!$B$2)*(1-Parametri!$B$3)+((Coefficienti!$B$7+Coefficienti!$B$8*E$2+Coefficienti!$B$9*$A10)+Coefficienti!$B$10)*(1-Parametri!$B$4))*(1+Parametri!$B$5)+FerrGriglia!E9+Coefficienti!$B$11*Parametri!$B$6,2)*(1+Parametri!$B$7),2)</f>
        <v/>
      </c>
      <c r="F10" s="4">
        <f>ROUND(ROUND((((Coefficienti!$B$1+Coefficienti!$B$2*F$2+Coefficienti!$B$3*$A10)*Parametri!$B$1+(Coefficienti!$B$4+Coefficienti!$B$5*F$2+Coefficienti!$B$6*$A10)*Parametri!$B$2)*(1-Parametri!$B$3)+((Coefficienti!$B$7+Coefficienti!$B$8*F$2+Coefficienti!$B$9*$A10)+Coefficienti!$B$10)*(1-Parametri!$B$4))*(1+Parametri!$B$5)+FerrGriglia!F9+Coefficienti!$B$11*Parametri!$B$6,2)*(1+Parametri!$B$7),2)</f>
        <v/>
      </c>
      <c r="G10" s="4">
        <f>ROUND(ROUND((((Coefficienti!$B$1+Coefficienti!$B$2*G$2+Coefficienti!$B$3*$A10)*Parametri!$B$1+(Coefficienti!$B$4+Coefficienti!$B$5*G$2+Coefficienti!$B$6*$A10)*Parametri!$B$2)*(1-Parametri!$B$3)+((Coefficienti!$B$7+Coefficienti!$B$8*G$2+Coefficienti!$B$9*$A10)+Coefficienti!$B$10)*(1-Parametri!$B$4))*(1+Parametri!$B$5)+FerrGriglia!G9+Coefficienti!$B$11*Parametri!$B$6,2)*(1+Parametri!$B$7),2)</f>
        <v/>
      </c>
      <c r="H10" s="4">
        <f>ROUND(ROUND((((Coefficienti!$B$1+Coefficienti!$B$2*H$2+Coefficienti!$B$3*$A10)*Parametri!$B$1+(Coefficienti!$B$4+Coefficienti!$B$5*H$2+Coefficienti!$B$6*$A10)*Parametri!$B$2)*(1-Parametri!$B$3)+((Coefficienti!$B$7+Coefficienti!$B$8*H$2+Coefficienti!$B$9*$A10)+Coefficienti!$B$10)*(1-Parametri!$B$4))*(1+Parametri!$B$5)+FerrGriglia!H9+Coefficienti!$B$11*Parametri!$B$6,2)*(1+Parametri!$B$7),2)</f>
        <v/>
      </c>
      <c r="I10" s="4">
        <f>ROUND(ROUND((((Coefficienti!$B$1+Coefficienti!$B$2*I$2+Coefficienti!$B$3*$A10)*Parametri!$B$1+(Coefficienti!$B$4+Coefficienti!$B$5*I$2+Coefficienti!$B$6*$A10)*Parametri!$B$2)*(1-Parametri!$B$3)+((Coefficienti!$B$7+Coefficienti!$B$8*I$2+Coefficienti!$B$9*$A10)+Coefficienti!$B$10)*(1-Parametri!$B$4))*(1+Parametri!$B$5)+FerrGriglia!I9+Coefficienti!$B$11*Parametri!$B$6,2)*(1+Parametri!$B$7),2)</f>
        <v/>
      </c>
      <c r="J10" s="4">
        <f>ROUND(ROUND((((Coefficienti!$B$1+Coefficienti!$B$2*J$2+Coefficienti!$B$3*$A10)*Parametri!$B$1+(Coefficienti!$B$4+Coefficienti!$B$5*J$2+Coefficienti!$B$6*$A10)*Parametri!$B$2)*(1-Parametri!$B$3)+((Coefficienti!$B$7+Coefficienti!$B$8*J$2+Coefficienti!$B$9*$A10)+Coefficienti!$B$10)*(1-Parametri!$B$4))*(1+Parametri!$B$5)+FerrGriglia!J9+Coefficienti!$B$11*Parametri!$B$6,2)*(1+Parametri!$B$7),2)</f>
        <v/>
      </c>
      <c r="K10" s="4">
        <f>ROUND(ROUND((((Coefficienti!$B$1+Coefficienti!$B$2*K$2+Coefficienti!$B$3*$A10)*Parametri!$B$1+(Coefficienti!$B$4+Coefficienti!$B$5*K$2+Coefficienti!$B$6*$A10)*Parametri!$B$2)*(1-Parametri!$B$3)+((Coefficienti!$B$7+Coefficienti!$B$8*K$2+Coefficienti!$B$9*$A10)+Coefficienti!$B$10)*(1-Parametri!$B$4))*(1+Parametri!$B$5)+FerrGriglia!K9+Coefficienti!$B$11*Parametri!$B$6,2)*(1+Parametri!$B$7),2)</f>
        <v/>
      </c>
      <c r="L10" s="4">
        <f>ROUND(ROUND((((Coefficienti!$B$1+Coefficienti!$B$2*L$2+Coefficienti!$B$3*$A10)*Parametri!$B$1+(Coefficienti!$B$4+Coefficienti!$B$5*L$2+Coefficienti!$B$6*$A10)*Parametri!$B$2)*(1-Parametri!$B$3)+((Coefficienti!$B$7+Coefficienti!$B$8*L$2+Coefficienti!$B$9*$A10)+Coefficienti!$B$10)*(1-Parametri!$B$4))*(1+Parametri!$B$5)+FerrGriglia!L9+Coefficienti!$B$11*Parametri!$B$6,2)*(1+Parametri!$B$7),2)</f>
        <v/>
      </c>
      <c r="M10" s="4">
        <f>ROUND(ROUND((((Coefficienti!$B$1+Coefficienti!$B$2*M$2+Coefficienti!$B$3*$A10)*Parametri!$B$1+(Coefficienti!$B$4+Coefficienti!$B$5*M$2+Coefficienti!$B$6*$A10)*Parametri!$B$2)*(1-Parametri!$B$3)+((Coefficienti!$B$7+Coefficienti!$B$8*M$2+Coefficienti!$B$9*$A10)+Coefficienti!$B$10)*(1-Parametri!$B$4))*(1+Parametri!$B$5)+FerrGriglia!M9+Coefficienti!$B$11*Parametri!$B$6,2)*(1+Parametri!$B$7),2)</f>
        <v/>
      </c>
      <c r="N10" s="4">
        <f>ROUND(ROUND((((Coefficienti!$B$1+Coefficienti!$B$2*N$2+Coefficienti!$B$3*$A10)*Parametri!$B$1+(Coefficienti!$B$4+Coefficienti!$B$5*N$2+Coefficienti!$B$6*$A10)*Parametri!$B$2)*(1-Parametri!$B$3)+((Coefficienti!$B$7+Coefficienti!$B$8*N$2+Coefficienti!$B$9*$A10)+Coefficienti!$B$10)*(1-Parametri!$B$4))*(1+Parametri!$B$5)+FerrGriglia!N9+Coefficienti!$B$11*Parametri!$B$6,2)*(1+Parametri!$B$7),2)</f>
        <v/>
      </c>
    </row>
    <row r="11">
      <c r="A11" s="2" t="n">
        <v>1300</v>
      </c>
      <c r="B11" s="4">
        <f>ROUND(ROUND((((Coefficienti!$B$1+Coefficienti!$B$2*B$2+Coefficienti!$B$3*$A11)*Parametri!$B$1+(Coefficienti!$B$4+Coefficienti!$B$5*B$2+Coefficienti!$B$6*$A11)*Parametri!$B$2)*(1-Parametri!$B$3)+((Coefficienti!$B$7+Coefficienti!$B$8*B$2+Coefficienti!$B$9*$A11)+Coefficienti!$B$10)*(1-Parametri!$B$4))*(1+Parametri!$B$5)+FerrGriglia!B10+Coefficienti!$B$11*Parametri!$B$6,2)*(1+Parametri!$B$7),2)</f>
        <v/>
      </c>
      <c r="C11" s="4">
        <f>ROUND(ROUND((((Coefficienti!$B$1+Coefficienti!$B$2*C$2+Coefficienti!$B$3*$A11)*Parametri!$B$1+(Coefficienti!$B$4+Coefficienti!$B$5*C$2+Coefficienti!$B$6*$A11)*Parametri!$B$2)*(1-Parametri!$B$3)+((Coefficienti!$B$7+Coefficienti!$B$8*C$2+Coefficienti!$B$9*$A11)+Coefficienti!$B$10)*(1-Parametri!$B$4))*(1+Parametri!$B$5)+FerrGriglia!C10+Coefficienti!$B$11*Parametri!$B$6,2)*(1+Parametri!$B$7),2)</f>
        <v/>
      </c>
      <c r="D11" s="4">
        <f>ROUND(ROUND((((Coefficienti!$B$1+Coefficienti!$B$2*D$2+Coefficienti!$B$3*$A11)*Parametri!$B$1+(Coefficienti!$B$4+Coefficienti!$B$5*D$2+Coefficienti!$B$6*$A11)*Parametri!$B$2)*(1-Parametri!$B$3)+((Coefficienti!$B$7+Coefficienti!$B$8*D$2+Coefficienti!$B$9*$A11)+Coefficienti!$B$10)*(1-Parametri!$B$4))*(1+Parametri!$B$5)+FerrGriglia!D10+Coefficienti!$B$11*Parametri!$B$6,2)*(1+Parametri!$B$7),2)</f>
        <v/>
      </c>
      <c r="E11" s="4">
        <f>ROUND(ROUND((((Coefficienti!$B$1+Coefficienti!$B$2*E$2+Coefficienti!$B$3*$A11)*Parametri!$B$1+(Coefficienti!$B$4+Coefficienti!$B$5*E$2+Coefficienti!$B$6*$A11)*Parametri!$B$2)*(1-Parametri!$B$3)+((Coefficienti!$B$7+Coefficienti!$B$8*E$2+Coefficienti!$B$9*$A11)+Coefficienti!$B$10)*(1-Parametri!$B$4))*(1+Parametri!$B$5)+FerrGriglia!E10+Coefficienti!$B$11*Parametri!$B$6,2)*(1+Parametri!$B$7),2)</f>
        <v/>
      </c>
      <c r="F11" s="4">
        <f>ROUND(ROUND((((Coefficienti!$B$1+Coefficienti!$B$2*F$2+Coefficienti!$B$3*$A11)*Parametri!$B$1+(Coefficienti!$B$4+Coefficienti!$B$5*F$2+Coefficienti!$B$6*$A11)*Parametri!$B$2)*(1-Parametri!$B$3)+((Coefficienti!$B$7+Coefficienti!$B$8*F$2+Coefficienti!$B$9*$A11)+Coefficienti!$B$10)*(1-Parametri!$B$4))*(1+Parametri!$B$5)+FerrGriglia!F10+Coefficienti!$B$11*Parametri!$B$6,2)*(1+Parametri!$B$7),2)</f>
        <v/>
      </c>
      <c r="G11" s="4">
        <f>ROUND(ROUND((((Coefficienti!$B$1+Coefficienti!$B$2*G$2+Coefficienti!$B$3*$A11)*Parametri!$B$1+(Coefficienti!$B$4+Coefficienti!$B$5*G$2+Coefficienti!$B$6*$A11)*Parametri!$B$2)*(1-Parametri!$B$3)+((Coefficienti!$B$7+Coefficienti!$B$8*G$2+Coefficienti!$B$9*$A11)+Coefficienti!$B$10)*(1-Parametri!$B$4))*(1+Parametri!$B$5)+FerrGriglia!G10+Coefficienti!$B$11*Parametri!$B$6,2)*(1+Parametri!$B$7),2)</f>
        <v/>
      </c>
      <c r="H11" s="4">
        <f>ROUND(ROUND((((Coefficienti!$B$1+Coefficienti!$B$2*H$2+Coefficienti!$B$3*$A11)*Parametri!$B$1+(Coefficienti!$B$4+Coefficienti!$B$5*H$2+Coefficienti!$B$6*$A11)*Parametri!$B$2)*(1-Parametri!$B$3)+((Coefficienti!$B$7+Coefficienti!$B$8*H$2+Coefficienti!$B$9*$A11)+Coefficienti!$B$10)*(1-Parametri!$B$4))*(1+Parametri!$B$5)+FerrGriglia!H10+Coefficienti!$B$11*Parametri!$B$6,2)*(1+Parametri!$B$7),2)</f>
        <v/>
      </c>
      <c r="I11" s="4">
        <f>ROUND(ROUND((((Coefficienti!$B$1+Coefficienti!$B$2*I$2+Coefficienti!$B$3*$A11)*Parametri!$B$1+(Coefficienti!$B$4+Coefficienti!$B$5*I$2+Coefficienti!$B$6*$A11)*Parametri!$B$2)*(1-Parametri!$B$3)+((Coefficienti!$B$7+Coefficienti!$B$8*I$2+Coefficienti!$B$9*$A11)+Coefficienti!$B$10)*(1-Parametri!$B$4))*(1+Parametri!$B$5)+FerrGriglia!I10+Coefficienti!$B$11*Parametri!$B$6,2)*(1+Parametri!$B$7),2)</f>
        <v/>
      </c>
      <c r="J11" s="4">
        <f>ROUND(ROUND((((Coefficienti!$B$1+Coefficienti!$B$2*J$2+Coefficienti!$B$3*$A11)*Parametri!$B$1+(Coefficienti!$B$4+Coefficienti!$B$5*J$2+Coefficienti!$B$6*$A11)*Parametri!$B$2)*(1-Parametri!$B$3)+((Coefficienti!$B$7+Coefficienti!$B$8*J$2+Coefficienti!$B$9*$A11)+Coefficienti!$B$10)*(1-Parametri!$B$4))*(1+Parametri!$B$5)+FerrGriglia!J10+Coefficienti!$B$11*Parametri!$B$6,2)*(1+Parametri!$B$7),2)</f>
        <v/>
      </c>
      <c r="K11" s="4">
        <f>ROUND(ROUND((((Coefficienti!$B$1+Coefficienti!$B$2*K$2+Coefficienti!$B$3*$A11)*Parametri!$B$1+(Coefficienti!$B$4+Coefficienti!$B$5*K$2+Coefficienti!$B$6*$A11)*Parametri!$B$2)*(1-Parametri!$B$3)+((Coefficienti!$B$7+Coefficienti!$B$8*K$2+Coefficienti!$B$9*$A11)+Coefficienti!$B$10)*(1-Parametri!$B$4))*(1+Parametri!$B$5)+FerrGriglia!K10+Coefficienti!$B$11*Parametri!$B$6,2)*(1+Parametri!$B$7),2)</f>
        <v/>
      </c>
      <c r="L11" s="4">
        <f>ROUND(ROUND((((Coefficienti!$B$1+Coefficienti!$B$2*L$2+Coefficienti!$B$3*$A11)*Parametri!$B$1+(Coefficienti!$B$4+Coefficienti!$B$5*L$2+Coefficienti!$B$6*$A11)*Parametri!$B$2)*(1-Parametri!$B$3)+((Coefficienti!$B$7+Coefficienti!$B$8*L$2+Coefficienti!$B$9*$A11)+Coefficienti!$B$10)*(1-Parametri!$B$4))*(1+Parametri!$B$5)+FerrGriglia!L10+Coefficienti!$B$11*Parametri!$B$6,2)*(1+Parametri!$B$7),2)</f>
        <v/>
      </c>
      <c r="M11" s="4">
        <f>ROUND(ROUND((((Coefficienti!$B$1+Coefficienti!$B$2*M$2+Coefficienti!$B$3*$A11)*Parametri!$B$1+(Coefficienti!$B$4+Coefficienti!$B$5*M$2+Coefficienti!$B$6*$A11)*Parametri!$B$2)*(1-Parametri!$B$3)+((Coefficienti!$B$7+Coefficienti!$B$8*M$2+Coefficienti!$B$9*$A11)+Coefficienti!$B$10)*(1-Parametri!$B$4))*(1+Parametri!$B$5)+FerrGriglia!M10+Coefficienti!$B$11*Parametri!$B$6,2)*(1+Parametri!$B$7),2)</f>
        <v/>
      </c>
      <c r="N11" s="4">
        <f>ROUND(ROUND((((Coefficienti!$B$1+Coefficienti!$B$2*N$2+Coefficienti!$B$3*$A11)*Parametri!$B$1+(Coefficienti!$B$4+Coefficienti!$B$5*N$2+Coefficienti!$B$6*$A11)*Parametri!$B$2)*(1-Parametri!$B$3)+((Coefficienti!$B$7+Coefficienti!$B$8*N$2+Coefficienti!$B$9*$A11)+Coefficienti!$B$10)*(1-Parametri!$B$4))*(1+Parametri!$B$5)+FerrGriglia!N10+Coefficienti!$B$11*Parametri!$B$6,2)*(1+Parametri!$B$7),2)</f>
        <v/>
      </c>
    </row>
    <row r="12">
      <c r="A12" s="2" t="n">
        <v>1400</v>
      </c>
      <c r="B12" s="4">
        <f>ROUND(ROUND((((Coefficienti!$B$1+Coefficienti!$B$2*B$2+Coefficienti!$B$3*$A12)*Parametri!$B$1+(Coefficienti!$B$4+Coefficienti!$B$5*B$2+Coefficienti!$B$6*$A12)*Parametri!$B$2)*(1-Parametri!$B$3)+((Coefficienti!$B$7+Coefficienti!$B$8*B$2+Coefficienti!$B$9*$A12)+Coefficienti!$B$10)*(1-Parametri!$B$4))*(1+Parametri!$B$5)+FerrGriglia!B11+Coefficienti!$B$11*Parametri!$B$6,2)*(1+Parametri!$B$7),2)</f>
        <v/>
      </c>
      <c r="C12" s="4">
        <f>ROUND(ROUND((((Coefficienti!$B$1+Coefficienti!$B$2*C$2+Coefficienti!$B$3*$A12)*Parametri!$B$1+(Coefficienti!$B$4+Coefficienti!$B$5*C$2+Coefficienti!$B$6*$A12)*Parametri!$B$2)*(1-Parametri!$B$3)+((Coefficienti!$B$7+Coefficienti!$B$8*C$2+Coefficienti!$B$9*$A12)+Coefficienti!$B$10)*(1-Parametri!$B$4))*(1+Parametri!$B$5)+FerrGriglia!C11+Coefficienti!$B$11*Parametri!$B$6,2)*(1+Parametri!$B$7),2)</f>
        <v/>
      </c>
      <c r="D12" s="4">
        <f>ROUND(ROUND((((Coefficienti!$B$1+Coefficienti!$B$2*D$2+Coefficienti!$B$3*$A12)*Parametri!$B$1+(Coefficienti!$B$4+Coefficienti!$B$5*D$2+Coefficienti!$B$6*$A12)*Parametri!$B$2)*(1-Parametri!$B$3)+((Coefficienti!$B$7+Coefficienti!$B$8*D$2+Coefficienti!$B$9*$A12)+Coefficienti!$B$10)*(1-Parametri!$B$4))*(1+Parametri!$B$5)+FerrGriglia!D11+Coefficienti!$B$11*Parametri!$B$6,2)*(1+Parametri!$B$7),2)</f>
        <v/>
      </c>
      <c r="E12" s="4">
        <f>ROUND(ROUND((((Coefficienti!$B$1+Coefficienti!$B$2*E$2+Coefficienti!$B$3*$A12)*Parametri!$B$1+(Coefficienti!$B$4+Coefficienti!$B$5*E$2+Coefficienti!$B$6*$A12)*Parametri!$B$2)*(1-Parametri!$B$3)+((Coefficienti!$B$7+Coefficienti!$B$8*E$2+Coefficienti!$B$9*$A12)+Coefficienti!$B$10)*(1-Parametri!$B$4))*(1+Parametri!$B$5)+FerrGriglia!E11+Coefficienti!$B$11*Parametri!$B$6,2)*(1+Parametri!$B$7),2)</f>
        <v/>
      </c>
      <c r="F12" s="4">
        <f>ROUND(ROUND((((Coefficienti!$B$1+Coefficienti!$B$2*F$2+Coefficienti!$B$3*$A12)*Parametri!$B$1+(Coefficienti!$B$4+Coefficienti!$B$5*F$2+Coefficienti!$B$6*$A12)*Parametri!$B$2)*(1-Parametri!$B$3)+((Coefficienti!$B$7+Coefficienti!$B$8*F$2+Coefficienti!$B$9*$A12)+Coefficienti!$B$10)*(1-Parametri!$B$4))*(1+Parametri!$B$5)+FerrGriglia!F11+Coefficienti!$B$11*Parametri!$B$6,2)*(1+Parametri!$B$7),2)</f>
        <v/>
      </c>
      <c r="G12" s="4">
        <f>ROUND(ROUND((((Coefficienti!$B$1+Coefficienti!$B$2*G$2+Coefficienti!$B$3*$A12)*Parametri!$B$1+(Coefficienti!$B$4+Coefficienti!$B$5*G$2+Coefficienti!$B$6*$A12)*Parametri!$B$2)*(1-Parametri!$B$3)+((Coefficienti!$B$7+Coefficienti!$B$8*G$2+Coefficienti!$B$9*$A12)+Coefficienti!$B$10)*(1-Parametri!$B$4))*(1+Parametri!$B$5)+FerrGriglia!G11+Coefficienti!$B$11*Parametri!$B$6,2)*(1+Parametri!$B$7),2)</f>
        <v/>
      </c>
      <c r="H12" s="4">
        <f>ROUND(ROUND((((Coefficienti!$B$1+Coefficienti!$B$2*H$2+Coefficienti!$B$3*$A12)*Parametri!$B$1+(Coefficienti!$B$4+Coefficienti!$B$5*H$2+Coefficienti!$B$6*$A12)*Parametri!$B$2)*(1-Parametri!$B$3)+((Coefficienti!$B$7+Coefficienti!$B$8*H$2+Coefficienti!$B$9*$A12)+Coefficienti!$B$10)*(1-Parametri!$B$4))*(1+Parametri!$B$5)+FerrGriglia!H11+Coefficienti!$B$11*Parametri!$B$6,2)*(1+Parametri!$B$7),2)</f>
        <v/>
      </c>
      <c r="I12" s="4">
        <f>ROUND(ROUND((((Coefficienti!$B$1+Coefficienti!$B$2*I$2+Coefficienti!$B$3*$A12)*Parametri!$B$1+(Coefficienti!$B$4+Coefficienti!$B$5*I$2+Coefficienti!$B$6*$A12)*Parametri!$B$2)*(1-Parametri!$B$3)+((Coefficienti!$B$7+Coefficienti!$B$8*I$2+Coefficienti!$B$9*$A12)+Coefficienti!$B$10)*(1-Parametri!$B$4))*(1+Parametri!$B$5)+FerrGriglia!I11+Coefficienti!$B$11*Parametri!$B$6,2)*(1+Parametri!$B$7),2)</f>
        <v/>
      </c>
      <c r="J12" s="4">
        <f>ROUND(ROUND((((Coefficienti!$B$1+Coefficienti!$B$2*J$2+Coefficienti!$B$3*$A12)*Parametri!$B$1+(Coefficienti!$B$4+Coefficienti!$B$5*J$2+Coefficienti!$B$6*$A12)*Parametri!$B$2)*(1-Parametri!$B$3)+((Coefficienti!$B$7+Coefficienti!$B$8*J$2+Coefficienti!$B$9*$A12)+Coefficienti!$B$10)*(1-Parametri!$B$4))*(1+Parametri!$B$5)+FerrGriglia!J11+Coefficienti!$B$11*Parametri!$B$6,2)*(1+Parametri!$B$7),2)</f>
        <v/>
      </c>
      <c r="K12" s="4">
        <f>ROUND(ROUND((((Coefficienti!$B$1+Coefficienti!$B$2*K$2+Coefficienti!$B$3*$A12)*Parametri!$B$1+(Coefficienti!$B$4+Coefficienti!$B$5*K$2+Coefficienti!$B$6*$A12)*Parametri!$B$2)*(1-Parametri!$B$3)+((Coefficienti!$B$7+Coefficienti!$B$8*K$2+Coefficienti!$B$9*$A12)+Coefficienti!$B$10)*(1-Parametri!$B$4))*(1+Parametri!$B$5)+FerrGriglia!K11+Coefficienti!$B$11*Parametri!$B$6,2)*(1+Parametri!$B$7),2)</f>
        <v/>
      </c>
      <c r="L12" s="4">
        <f>ROUND(ROUND((((Coefficienti!$B$1+Coefficienti!$B$2*L$2+Coefficienti!$B$3*$A12)*Parametri!$B$1+(Coefficienti!$B$4+Coefficienti!$B$5*L$2+Coefficienti!$B$6*$A12)*Parametri!$B$2)*(1-Parametri!$B$3)+((Coefficienti!$B$7+Coefficienti!$B$8*L$2+Coefficienti!$B$9*$A12)+Coefficienti!$B$10)*(1-Parametri!$B$4))*(1+Parametri!$B$5)+FerrGriglia!L11+Coefficienti!$B$11*Parametri!$B$6,2)*(1+Parametri!$B$7),2)</f>
        <v/>
      </c>
      <c r="M12" s="4">
        <f>ROUND(ROUND((((Coefficienti!$B$1+Coefficienti!$B$2*M$2+Coefficienti!$B$3*$A12)*Parametri!$B$1+(Coefficienti!$B$4+Coefficienti!$B$5*M$2+Coefficienti!$B$6*$A12)*Parametri!$B$2)*(1-Parametri!$B$3)+((Coefficienti!$B$7+Coefficienti!$B$8*M$2+Coefficienti!$B$9*$A12)+Coefficienti!$B$10)*(1-Parametri!$B$4))*(1+Parametri!$B$5)+FerrGriglia!M11+Coefficienti!$B$11*Parametri!$B$6,2)*(1+Parametri!$B$7),2)</f>
        <v/>
      </c>
      <c r="N12" s="4">
        <f>ROUND(ROUND((((Coefficienti!$B$1+Coefficienti!$B$2*N$2+Coefficienti!$B$3*$A12)*Parametri!$B$1+(Coefficienti!$B$4+Coefficienti!$B$5*N$2+Coefficienti!$B$6*$A12)*Parametri!$B$2)*(1-Parametri!$B$3)+((Coefficienti!$B$7+Coefficienti!$B$8*N$2+Coefficienti!$B$9*$A12)+Coefficienti!$B$10)*(1-Parametri!$B$4))*(1+Parametri!$B$5)+FerrGriglia!N11+Coefficienti!$B$11*Parametri!$B$6,2)*(1+Parametri!$B$7),2)</f>
        <v/>
      </c>
    </row>
    <row r="13">
      <c r="A13" s="2" t="n">
        <v>1500</v>
      </c>
      <c r="B13" s="4">
        <f>ROUND(ROUND((((Coefficienti!$B$1+Coefficienti!$B$2*B$2+Coefficienti!$B$3*$A13)*Parametri!$B$1+(Coefficienti!$B$4+Coefficienti!$B$5*B$2+Coefficienti!$B$6*$A13)*Parametri!$B$2)*(1-Parametri!$B$3)+((Coefficienti!$B$7+Coefficienti!$B$8*B$2+Coefficienti!$B$9*$A13)+Coefficienti!$B$10)*(1-Parametri!$B$4))*(1+Parametri!$B$5)+FerrGriglia!B12+Coefficienti!$B$11*Parametri!$B$6,2)*(1+Parametri!$B$7),2)</f>
        <v/>
      </c>
      <c r="C13" s="4">
        <f>ROUND(ROUND((((Coefficienti!$B$1+Coefficienti!$B$2*C$2+Coefficienti!$B$3*$A13)*Parametri!$B$1+(Coefficienti!$B$4+Coefficienti!$B$5*C$2+Coefficienti!$B$6*$A13)*Parametri!$B$2)*(1-Parametri!$B$3)+((Coefficienti!$B$7+Coefficienti!$B$8*C$2+Coefficienti!$B$9*$A13)+Coefficienti!$B$10)*(1-Parametri!$B$4))*(1+Parametri!$B$5)+FerrGriglia!C12+Coefficienti!$B$11*Parametri!$B$6,2)*(1+Parametri!$B$7),2)</f>
        <v/>
      </c>
      <c r="D13" s="4">
        <f>ROUND(ROUND((((Coefficienti!$B$1+Coefficienti!$B$2*D$2+Coefficienti!$B$3*$A13)*Parametri!$B$1+(Coefficienti!$B$4+Coefficienti!$B$5*D$2+Coefficienti!$B$6*$A13)*Parametri!$B$2)*(1-Parametri!$B$3)+((Coefficienti!$B$7+Coefficienti!$B$8*D$2+Coefficienti!$B$9*$A13)+Coefficienti!$B$10)*(1-Parametri!$B$4))*(1+Parametri!$B$5)+FerrGriglia!D12+Coefficienti!$B$11*Parametri!$B$6,2)*(1+Parametri!$B$7),2)</f>
        <v/>
      </c>
      <c r="E13" s="4">
        <f>ROUND(ROUND((((Coefficienti!$B$1+Coefficienti!$B$2*E$2+Coefficienti!$B$3*$A13)*Parametri!$B$1+(Coefficienti!$B$4+Coefficienti!$B$5*E$2+Coefficienti!$B$6*$A13)*Parametri!$B$2)*(1-Parametri!$B$3)+((Coefficienti!$B$7+Coefficienti!$B$8*E$2+Coefficienti!$B$9*$A13)+Coefficienti!$B$10)*(1-Parametri!$B$4))*(1+Parametri!$B$5)+FerrGriglia!E12+Coefficienti!$B$11*Parametri!$B$6,2)*(1+Parametri!$B$7),2)</f>
        <v/>
      </c>
      <c r="F13" s="4">
        <f>ROUND(ROUND((((Coefficienti!$B$1+Coefficienti!$B$2*F$2+Coefficienti!$B$3*$A13)*Parametri!$B$1+(Coefficienti!$B$4+Coefficienti!$B$5*F$2+Coefficienti!$B$6*$A13)*Parametri!$B$2)*(1-Parametri!$B$3)+((Coefficienti!$B$7+Coefficienti!$B$8*F$2+Coefficienti!$B$9*$A13)+Coefficienti!$B$10)*(1-Parametri!$B$4))*(1+Parametri!$B$5)+FerrGriglia!F12+Coefficienti!$B$11*Parametri!$B$6,2)*(1+Parametri!$B$7),2)</f>
        <v/>
      </c>
      <c r="G13" s="4">
        <f>ROUND(ROUND((((Coefficienti!$B$1+Coefficienti!$B$2*G$2+Coefficienti!$B$3*$A13)*Parametri!$B$1+(Coefficienti!$B$4+Coefficienti!$B$5*G$2+Coefficienti!$B$6*$A13)*Parametri!$B$2)*(1-Parametri!$B$3)+((Coefficienti!$B$7+Coefficienti!$B$8*G$2+Coefficienti!$B$9*$A13)+Coefficienti!$B$10)*(1-Parametri!$B$4))*(1+Parametri!$B$5)+FerrGriglia!G12+Coefficienti!$B$11*Parametri!$B$6,2)*(1+Parametri!$B$7),2)</f>
        <v/>
      </c>
      <c r="H13" s="4">
        <f>ROUND(ROUND((((Coefficienti!$B$1+Coefficienti!$B$2*H$2+Coefficienti!$B$3*$A13)*Parametri!$B$1+(Coefficienti!$B$4+Coefficienti!$B$5*H$2+Coefficienti!$B$6*$A13)*Parametri!$B$2)*(1-Parametri!$B$3)+((Coefficienti!$B$7+Coefficienti!$B$8*H$2+Coefficienti!$B$9*$A13)+Coefficienti!$B$10)*(1-Parametri!$B$4))*(1+Parametri!$B$5)+FerrGriglia!H12+Coefficienti!$B$11*Parametri!$B$6,2)*(1+Parametri!$B$7),2)</f>
        <v/>
      </c>
      <c r="I13" s="4">
        <f>ROUND(ROUND((((Coefficienti!$B$1+Coefficienti!$B$2*I$2+Coefficienti!$B$3*$A13)*Parametri!$B$1+(Coefficienti!$B$4+Coefficienti!$B$5*I$2+Coefficienti!$B$6*$A13)*Parametri!$B$2)*(1-Parametri!$B$3)+((Coefficienti!$B$7+Coefficienti!$B$8*I$2+Coefficienti!$B$9*$A13)+Coefficienti!$B$10)*(1-Parametri!$B$4))*(1+Parametri!$B$5)+FerrGriglia!I12+Coefficienti!$B$11*Parametri!$B$6,2)*(1+Parametri!$B$7),2)</f>
        <v/>
      </c>
      <c r="J13" s="4">
        <f>ROUND(ROUND((((Coefficienti!$B$1+Coefficienti!$B$2*J$2+Coefficienti!$B$3*$A13)*Parametri!$B$1+(Coefficienti!$B$4+Coefficienti!$B$5*J$2+Coefficienti!$B$6*$A13)*Parametri!$B$2)*(1-Parametri!$B$3)+((Coefficienti!$B$7+Coefficienti!$B$8*J$2+Coefficienti!$B$9*$A13)+Coefficienti!$B$10)*(1-Parametri!$B$4))*(1+Parametri!$B$5)+FerrGriglia!J12+Coefficienti!$B$11*Parametri!$B$6,2)*(1+Parametri!$B$7),2)</f>
        <v/>
      </c>
      <c r="K13" s="4">
        <f>ROUND(ROUND((((Coefficienti!$B$1+Coefficienti!$B$2*K$2+Coefficienti!$B$3*$A13)*Parametri!$B$1+(Coefficienti!$B$4+Coefficienti!$B$5*K$2+Coefficienti!$B$6*$A13)*Parametri!$B$2)*(1-Parametri!$B$3)+((Coefficienti!$B$7+Coefficienti!$B$8*K$2+Coefficienti!$B$9*$A13)+Coefficienti!$B$10)*(1-Parametri!$B$4))*(1+Parametri!$B$5)+FerrGriglia!K12+Coefficienti!$B$11*Parametri!$B$6,2)*(1+Parametri!$B$7),2)</f>
        <v/>
      </c>
      <c r="L13" s="4">
        <f>ROUND(ROUND((((Coefficienti!$B$1+Coefficienti!$B$2*L$2+Coefficienti!$B$3*$A13)*Parametri!$B$1+(Coefficienti!$B$4+Coefficienti!$B$5*L$2+Coefficienti!$B$6*$A13)*Parametri!$B$2)*(1-Parametri!$B$3)+((Coefficienti!$B$7+Coefficienti!$B$8*L$2+Coefficienti!$B$9*$A13)+Coefficienti!$B$10)*(1-Parametri!$B$4))*(1+Parametri!$B$5)+FerrGriglia!L12+Coefficienti!$B$11*Parametri!$B$6,2)*(1+Parametri!$B$7),2)</f>
        <v/>
      </c>
      <c r="M13" s="4">
        <f>ROUND(ROUND((((Coefficienti!$B$1+Coefficienti!$B$2*M$2+Coefficienti!$B$3*$A13)*Parametri!$B$1+(Coefficienti!$B$4+Coefficienti!$B$5*M$2+Coefficienti!$B$6*$A13)*Parametri!$B$2)*(1-Parametri!$B$3)+((Coefficienti!$B$7+Coefficienti!$B$8*M$2+Coefficienti!$B$9*$A13)+Coefficienti!$B$10)*(1-Parametri!$B$4))*(1+Parametri!$B$5)+FerrGriglia!M12+Coefficienti!$B$11*Parametri!$B$6,2)*(1+Parametri!$B$7),2)</f>
        <v/>
      </c>
      <c r="N13" s="4">
        <f>ROUND(ROUND((((Coefficienti!$B$1+Coefficienti!$B$2*N$2+Coefficienti!$B$3*$A13)*Parametri!$B$1+(Coefficienti!$B$4+Coefficienti!$B$5*N$2+Coefficienti!$B$6*$A13)*Parametri!$B$2)*(1-Parametri!$B$3)+((Coefficienti!$B$7+Coefficienti!$B$8*N$2+Coefficienti!$B$9*$A13)+Coefficienti!$B$10)*(1-Parametri!$B$4))*(1+Parametri!$B$5)+FerrGriglia!N12+Coefficienti!$B$11*Parametri!$B$6,2)*(1+Parametri!$B$7),2)</f>
        <v/>
      </c>
    </row>
    <row r="14">
      <c r="A14" s="2" t="n">
        <v>1600</v>
      </c>
      <c r="B14" s="4">
        <f>ROUND(ROUND((((Coefficienti!$B$1+Coefficienti!$B$2*B$2+Coefficienti!$B$3*$A14)*Parametri!$B$1+(Coefficienti!$B$4+Coefficienti!$B$5*B$2+Coefficienti!$B$6*$A14)*Parametri!$B$2)*(1-Parametri!$B$3)+((Coefficienti!$B$7+Coefficienti!$B$8*B$2+Coefficienti!$B$9*$A14)+Coefficienti!$B$10)*(1-Parametri!$B$4))*(1+Parametri!$B$5)+FerrGriglia!B13+Coefficienti!$B$11*Parametri!$B$6,2)*(1+Parametri!$B$7),2)</f>
        <v/>
      </c>
      <c r="C14" s="4">
        <f>ROUND(ROUND((((Coefficienti!$B$1+Coefficienti!$B$2*C$2+Coefficienti!$B$3*$A14)*Parametri!$B$1+(Coefficienti!$B$4+Coefficienti!$B$5*C$2+Coefficienti!$B$6*$A14)*Parametri!$B$2)*(1-Parametri!$B$3)+((Coefficienti!$B$7+Coefficienti!$B$8*C$2+Coefficienti!$B$9*$A14)+Coefficienti!$B$10)*(1-Parametri!$B$4))*(1+Parametri!$B$5)+FerrGriglia!C13+Coefficienti!$B$11*Parametri!$B$6,2)*(1+Parametri!$B$7),2)</f>
        <v/>
      </c>
      <c r="D14" s="4">
        <f>ROUND(ROUND((((Coefficienti!$B$1+Coefficienti!$B$2*D$2+Coefficienti!$B$3*$A14)*Parametri!$B$1+(Coefficienti!$B$4+Coefficienti!$B$5*D$2+Coefficienti!$B$6*$A14)*Parametri!$B$2)*(1-Parametri!$B$3)+((Coefficienti!$B$7+Coefficienti!$B$8*D$2+Coefficienti!$B$9*$A14)+Coefficienti!$B$10)*(1-Parametri!$B$4))*(1+Parametri!$B$5)+FerrGriglia!D13+Coefficienti!$B$11*Parametri!$B$6,2)*(1+Parametri!$B$7),2)</f>
        <v/>
      </c>
      <c r="E14" s="4">
        <f>ROUND(ROUND((((Coefficienti!$B$1+Coefficienti!$B$2*E$2+Coefficienti!$B$3*$A14)*Parametri!$B$1+(Coefficienti!$B$4+Coefficienti!$B$5*E$2+Coefficienti!$B$6*$A14)*Parametri!$B$2)*(1-Parametri!$B$3)+((Coefficienti!$B$7+Coefficienti!$B$8*E$2+Coefficienti!$B$9*$A14)+Coefficienti!$B$10)*(1-Parametri!$B$4))*(1+Parametri!$B$5)+FerrGriglia!E13+Coefficienti!$B$11*Parametri!$B$6,2)*(1+Parametri!$B$7),2)</f>
        <v/>
      </c>
      <c r="F14" s="4">
        <f>ROUND(ROUND((((Coefficienti!$B$1+Coefficienti!$B$2*F$2+Coefficienti!$B$3*$A14)*Parametri!$B$1+(Coefficienti!$B$4+Coefficienti!$B$5*F$2+Coefficienti!$B$6*$A14)*Parametri!$B$2)*(1-Parametri!$B$3)+((Coefficienti!$B$7+Coefficienti!$B$8*F$2+Coefficienti!$B$9*$A14)+Coefficienti!$B$10)*(1-Parametri!$B$4))*(1+Parametri!$B$5)+FerrGriglia!F13+Coefficienti!$B$11*Parametri!$B$6,2)*(1+Parametri!$B$7),2)</f>
        <v/>
      </c>
      <c r="G14" s="4">
        <f>ROUND(ROUND((((Coefficienti!$B$1+Coefficienti!$B$2*G$2+Coefficienti!$B$3*$A14)*Parametri!$B$1+(Coefficienti!$B$4+Coefficienti!$B$5*G$2+Coefficienti!$B$6*$A14)*Parametri!$B$2)*(1-Parametri!$B$3)+((Coefficienti!$B$7+Coefficienti!$B$8*G$2+Coefficienti!$B$9*$A14)+Coefficienti!$B$10)*(1-Parametri!$B$4))*(1+Parametri!$B$5)+FerrGriglia!G13+Coefficienti!$B$11*Parametri!$B$6,2)*(1+Parametri!$B$7),2)</f>
        <v/>
      </c>
      <c r="H14" s="4">
        <f>ROUND(ROUND((((Coefficienti!$B$1+Coefficienti!$B$2*H$2+Coefficienti!$B$3*$A14)*Parametri!$B$1+(Coefficienti!$B$4+Coefficienti!$B$5*H$2+Coefficienti!$B$6*$A14)*Parametri!$B$2)*(1-Parametri!$B$3)+((Coefficienti!$B$7+Coefficienti!$B$8*H$2+Coefficienti!$B$9*$A14)+Coefficienti!$B$10)*(1-Parametri!$B$4))*(1+Parametri!$B$5)+FerrGriglia!H13+Coefficienti!$B$11*Parametri!$B$6,2)*(1+Parametri!$B$7),2)</f>
        <v/>
      </c>
      <c r="I14" s="4">
        <f>ROUND(ROUND((((Coefficienti!$B$1+Coefficienti!$B$2*I$2+Coefficienti!$B$3*$A14)*Parametri!$B$1+(Coefficienti!$B$4+Coefficienti!$B$5*I$2+Coefficienti!$B$6*$A14)*Parametri!$B$2)*(1-Parametri!$B$3)+((Coefficienti!$B$7+Coefficienti!$B$8*I$2+Coefficienti!$B$9*$A14)+Coefficienti!$B$10)*(1-Parametri!$B$4))*(1+Parametri!$B$5)+FerrGriglia!I13+Coefficienti!$B$11*Parametri!$B$6,2)*(1+Parametri!$B$7),2)</f>
        <v/>
      </c>
      <c r="J14" s="4">
        <f>ROUND(ROUND((((Coefficienti!$B$1+Coefficienti!$B$2*J$2+Coefficienti!$B$3*$A14)*Parametri!$B$1+(Coefficienti!$B$4+Coefficienti!$B$5*J$2+Coefficienti!$B$6*$A14)*Parametri!$B$2)*(1-Parametri!$B$3)+((Coefficienti!$B$7+Coefficienti!$B$8*J$2+Coefficienti!$B$9*$A14)+Coefficienti!$B$10)*(1-Parametri!$B$4))*(1+Parametri!$B$5)+FerrGriglia!J13+Coefficienti!$B$11*Parametri!$B$6,2)*(1+Parametri!$B$7),2)</f>
        <v/>
      </c>
      <c r="K14" s="4">
        <f>ROUND(ROUND((((Coefficienti!$B$1+Coefficienti!$B$2*K$2+Coefficienti!$B$3*$A14)*Parametri!$B$1+(Coefficienti!$B$4+Coefficienti!$B$5*K$2+Coefficienti!$B$6*$A14)*Parametri!$B$2)*(1-Parametri!$B$3)+((Coefficienti!$B$7+Coefficienti!$B$8*K$2+Coefficienti!$B$9*$A14)+Coefficienti!$B$10)*(1-Parametri!$B$4))*(1+Parametri!$B$5)+FerrGriglia!K13+Coefficienti!$B$11*Parametri!$B$6,2)*(1+Parametri!$B$7),2)</f>
        <v/>
      </c>
      <c r="L14" s="4">
        <f>ROUND(ROUND((((Coefficienti!$B$1+Coefficienti!$B$2*L$2+Coefficienti!$B$3*$A14)*Parametri!$B$1+(Coefficienti!$B$4+Coefficienti!$B$5*L$2+Coefficienti!$B$6*$A14)*Parametri!$B$2)*(1-Parametri!$B$3)+((Coefficienti!$B$7+Coefficienti!$B$8*L$2+Coefficienti!$B$9*$A14)+Coefficienti!$B$10)*(1-Parametri!$B$4))*(1+Parametri!$B$5)+FerrGriglia!L13+Coefficienti!$B$11*Parametri!$B$6,2)*(1+Parametri!$B$7),2)</f>
        <v/>
      </c>
      <c r="M14" s="4">
        <f>ROUND(ROUND((((Coefficienti!$B$1+Coefficienti!$B$2*M$2+Coefficienti!$B$3*$A14)*Parametri!$B$1+(Coefficienti!$B$4+Coefficienti!$B$5*M$2+Coefficienti!$B$6*$A14)*Parametri!$B$2)*(1-Parametri!$B$3)+((Coefficienti!$B$7+Coefficienti!$B$8*M$2+Coefficienti!$B$9*$A14)+Coefficienti!$B$10)*(1-Parametri!$B$4))*(1+Parametri!$B$5)+FerrGriglia!M13+Coefficienti!$B$11*Parametri!$B$6,2)*(1+Parametri!$B$7),2)</f>
        <v/>
      </c>
      <c r="N14" s="4">
        <f>ROUND(ROUND((((Coefficienti!$B$1+Coefficienti!$B$2*N$2+Coefficienti!$B$3*$A14)*Parametri!$B$1+(Coefficienti!$B$4+Coefficienti!$B$5*N$2+Coefficienti!$B$6*$A14)*Parametri!$B$2)*(1-Parametri!$B$3)+((Coefficienti!$B$7+Coefficienti!$B$8*N$2+Coefficienti!$B$9*$A14)+Coefficienti!$B$10)*(1-Parametri!$B$4))*(1+Parametri!$B$5)+FerrGriglia!N13+Coefficienti!$B$11*Parametri!$B$6,2)*(1+Parametri!$B$7),2)</f>
        <v/>
      </c>
    </row>
    <row r="15">
      <c r="A15" s="2" t="n">
        <v>1700</v>
      </c>
      <c r="B15" s="4">
        <f>ROUND(ROUND((((Coefficienti!$B$1+Coefficienti!$B$2*B$2+Coefficienti!$B$3*$A15)*Parametri!$B$1+(Coefficienti!$B$4+Coefficienti!$B$5*B$2+Coefficienti!$B$6*$A15)*Parametri!$B$2)*(1-Parametri!$B$3)+((Coefficienti!$B$7+Coefficienti!$B$8*B$2+Coefficienti!$B$9*$A15)+Coefficienti!$B$10)*(1-Parametri!$B$4))*(1+Parametri!$B$5)+FerrGriglia!B14+Coefficienti!$B$11*Parametri!$B$6,2)*(1+Parametri!$B$7),2)</f>
        <v/>
      </c>
      <c r="C15" s="4">
        <f>ROUND(ROUND((((Coefficienti!$B$1+Coefficienti!$B$2*C$2+Coefficienti!$B$3*$A15)*Parametri!$B$1+(Coefficienti!$B$4+Coefficienti!$B$5*C$2+Coefficienti!$B$6*$A15)*Parametri!$B$2)*(1-Parametri!$B$3)+((Coefficienti!$B$7+Coefficienti!$B$8*C$2+Coefficienti!$B$9*$A15)+Coefficienti!$B$10)*(1-Parametri!$B$4))*(1+Parametri!$B$5)+FerrGriglia!C14+Coefficienti!$B$11*Parametri!$B$6,2)*(1+Parametri!$B$7),2)</f>
        <v/>
      </c>
      <c r="D15" s="4">
        <f>ROUND(ROUND((((Coefficienti!$B$1+Coefficienti!$B$2*D$2+Coefficienti!$B$3*$A15)*Parametri!$B$1+(Coefficienti!$B$4+Coefficienti!$B$5*D$2+Coefficienti!$B$6*$A15)*Parametri!$B$2)*(1-Parametri!$B$3)+((Coefficienti!$B$7+Coefficienti!$B$8*D$2+Coefficienti!$B$9*$A15)+Coefficienti!$B$10)*(1-Parametri!$B$4))*(1+Parametri!$B$5)+FerrGriglia!D14+Coefficienti!$B$11*Parametri!$B$6,2)*(1+Parametri!$B$7),2)</f>
        <v/>
      </c>
      <c r="E15" s="4">
        <f>ROUND(ROUND((((Coefficienti!$B$1+Coefficienti!$B$2*E$2+Coefficienti!$B$3*$A15)*Parametri!$B$1+(Coefficienti!$B$4+Coefficienti!$B$5*E$2+Coefficienti!$B$6*$A15)*Parametri!$B$2)*(1-Parametri!$B$3)+((Coefficienti!$B$7+Coefficienti!$B$8*E$2+Coefficienti!$B$9*$A15)+Coefficienti!$B$10)*(1-Parametri!$B$4))*(1+Parametri!$B$5)+FerrGriglia!E14+Coefficienti!$B$11*Parametri!$B$6,2)*(1+Parametri!$B$7),2)</f>
        <v/>
      </c>
      <c r="F15" s="4">
        <f>ROUND(ROUND((((Coefficienti!$B$1+Coefficienti!$B$2*F$2+Coefficienti!$B$3*$A15)*Parametri!$B$1+(Coefficienti!$B$4+Coefficienti!$B$5*F$2+Coefficienti!$B$6*$A15)*Parametri!$B$2)*(1-Parametri!$B$3)+((Coefficienti!$B$7+Coefficienti!$B$8*F$2+Coefficienti!$B$9*$A15)+Coefficienti!$B$10)*(1-Parametri!$B$4))*(1+Parametri!$B$5)+FerrGriglia!F14+Coefficienti!$B$11*Parametri!$B$6,2)*(1+Parametri!$B$7),2)</f>
        <v/>
      </c>
      <c r="G15" s="4">
        <f>ROUND(ROUND((((Coefficienti!$B$1+Coefficienti!$B$2*G$2+Coefficienti!$B$3*$A15)*Parametri!$B$1+(Coefficienti!$B$4+Coefficienti!$B$5*G$2+Coefficienti!$B$6*$A15)*Parametri!$B$2)*(1-Parametri!$B$3)+((Coefficienti!$B$7+Coefficienti!$B$8*G$2+Coefficienti!$B$9*$A15)+Coefficienti!$B$10)*(1-Parametri!$B$4))*(1+Parametri!$B$5)+FerrGriglia!G14+Coefficienti!$B$11*Parametri!$B$6,2)*(1+Parametri!$B$7),2)</f>
        <v/>
      </c>
      <c r="H15" s="4">
        <f>ROUND(ROUND((((Coefficienti!$B$1+Coefficienti!$B$2*H$2+Coefficienti!$B$3*$A15)*Parametri!$B$1+(Coefficienti!$B$4+Coefficienti!$B$5*H$2+Coefficienti!$B$6*$A15)*Parametri!$B$2)*(1-Parametri!$B$3)+((Coefficienti!$B$7+Coefficienti!$B$8*H$2+Coefficienti!$B$9*$A15)+Coefficienti!$B$10)*(1-Parametri!$B$4))*(1+Parametri!$B$5)+FerrGriglia!H14+Coefficienti!$B$11*Parametri!$B$6,2)*(1+Parametri!$B$7),2)</f>
        <v/>
      </c>
      <c r="I15" s="4">
        <f>ROUND(ROUND((((Coefficienti!$B$1+Coefficienti!$B$2*I$2+Coefficienti!$B$3*$A15)*Parametri!$B$1+(Coefficienti!$B$4+Coefficienti!$B$5*I$2+Coefficienti!$B$6*$A15)*Parametri!$B$2)*(1-Parametri!$B$3)+((Coefficienti!$B$7+Coefficienti!$B$8*I$2+Coefficienti!$B$9*$A15)+Coefficienti!$B$10)*(1-Parametri!$B$4))*(1+Parametri!$B$5)+FerrGriglia!I14+Coefficienti!$B$11*Parametri!$B$6,2)*(1+Parametri!$B$7),2)</f>
        <v/>
      </c>
      <c r="J15" s="4">
        <f>ROUND(ROUND((((Coefficienti!$B$1+Coefficienti!$B$2*J$2+Coefficienti!$B$3*$A15)*Parametri!$B$1+(Coefficienti!$B$4+Coefficienti!$B$5*J$2+Coefficienti!$B$6*$A15)*Parametri!$B$2)*(1-Parametri!$B$3)+((Coefficienti!$B$7+Coefficienti!$B$8*J$2+Coefficienti!$B$9*$A15)+Coefficienti!$B$10)*(1-Parametri!$B$4))*(1+Parametri!$B$5)+FerrGriglia!J14+Coefficienti!$B$11*Parametri!$B$6,2)*(1+Parametri!$B$7),2)</f>
        <v/>
      </c>
      <c r="K15" s="4">
        <f>ROUND(ROUND((((Coefficienti!$B$1+Coefficienti!$B$2*K$2+Coefficienti!$B$3*$A15)*Parametri!$B$1+(Coefficienti!$B$4+Coefficienti!$B$5*K$2+Coefficienti!$B$6*$A15)*Parametri!$B$2)*(1-Parametri!$B$3)+((Coefficienti!$B$7+Coefficienti!$B$8*K$2+Coefficienti!$B$9*$A15)+Coefficienti!$B$10)*(1-Parametri!$B$4))*(1+Parametri!$B$5)+FerrGriglia!K14+Coefficienti!$B$11*Parametri!$B$6,2)*(1+Parametri!$B$7),2)</f>
        <v/>
      </c>
      <c r="L15" s="4">
        <f>ROUND(ROUND((((Coefficienti!$B$1+Coefficienti!$B$2*L$2+Coefficienti!$B$3*$A15)*Parametri!$B$1+(Coefficienti!$B$4+Coefficienti!$B$5*L$2+Coefficienti!$B$6*$A15)*Parametri!$B$2)*(1-Parametri!$B$3)+((Coefficienti!$B$7+Coefficienti!$B$8*L$2+Coefficienti!$B$9*$A15)+Coefficienti!$B$10)*(1-Parametri!$B$4))*(1+Parametri!$B$5)+FerrGriglia!L14+Coefficienti!$B$11*Parametri!$B$6,2)*(1+Parametri!$B$7),2)</f>
        <v/>
      </c>
      <c r="M15" s="4">
        <f>ROUND(ROUND((((Coefficienti!$B$1+Coefficienti!$B$2*M$2+Coefficienti!$B$3*$A15)*Parametri!$B$1+(Coefficienti!$B$4+Coefficienti!$B$5*M$2+Coefficienti!$B$6*$A15)*Parametri!$B$2)*(1-Parametri!$B$3)+((Coefficienti!$B$7+Coefficienti!$B$8*M$2+Coefficienti!$B$9*$A15)+Coefficienti!$B$10)*(1-Parametri!$B$4))*(1+Parametri!$B$5)+FerrGriglia!M14+Coefficienti!$B$11*Parametri!$B$6,2)*(1+Parametri!$B$7),2)</f>
        <v/>
      </c>
      <c r="N15" s="4">
        <f>ROUND(ROUND((((Coefficienti!$B$1+Coefficienti!$B$2*N$2+Coefficienti!$B$3*$A15)*Parametri!$B$1+(Coefficienti!$B$4+Coefficienti!$B$5*N$2+Coefficienti!$B$6*$A15)*Parametri!$B$2)*(1-Parametri!$B$3)+((Coefficienti!$B$7+Coefficienti!$B$8*N$2+Coefficienti!$B$9*$A15)+Coefficienti!$B$10)*(1-Parametri!$B$4))*(1+Parametri!$B$5)+FerrGriglia!N14+Coefficienti!$B$11*Parametri!$B$6,2)*(1+Parametri!$B$7),2)</f>
        <v/>
      </c>
    </row>
    <row r="16">
      <c r="A16" s="2" t="n">
        <v>1800</v>
      </c>
      <c r="B16" s="4">
        <f>ROUND(ROUND((((Coefficienti!$B$1+Coefficienti!$B$2*B$2+Coefficienti!$B$3*$A16)*Parametri!$B$1+(Coefficienti!$B$4+Coefficienti!$B$5*B$2+Coefficienti!$B$6*$A16)*Parametri!$B$2)*(1-Parametri!$B$3)+((Coefficienti!$B$7+Coefficienti!$B$8*B$2+Coefficienti!$B$9*$A16)+Coefficienti!$B$10)*(1-Parametri!$B$4))*(1+Parametri!$B$5)+FerrGriglia!B15+Coefficienti!$B$11*Parametri!$B$6,2)*(1+Parametri!$B$7),2)</f>
        <v/>
      </c>
      <c r="C16" s="4">
        <f>ROUND(ROUND((((Coefficienti!$B$1+Coefficienti!$B$2*C$2+Coefficienti!$B$3*$A16)*Parametri!$B$1+(Coefficienti!$B$4+Coefficienti!$B$5*C$2+Coefficienti!$B$6*$A16)*Parametri!$B$2)*(1-Parametri!$B$3)+((Coefficienti!$B$7+Coefficienti!$B$8*C$2+Coefficienti!$B$9*$A16)+Coefficienti!$B$10)*(1-Parametri!$B$4))*(1+Parametri!$B$5)+FerrGriglia!C15+Coefficienti!$B$11*Parametri!$B$6,2)*(1+Parametri!$B$7),2)</f>
        <v/>
      </c>
      <c r="D16" s="4">
        <f>ROUND(ROUND((((Coefficienti!$B$1+Coefficienti!$B$2*D$2+Coefficienti!$B$3*$A16)*Parametri!$B$1+(Coefficienti!$B$4+Coefficienti!$B$5*D$2+Coefficienti!$B$6*$A16)*Parametri!$B$2)*(1-Parametri!$B$3)+((Coefficienti!$B$7+Coefficienti!$B$8*D$2+Coefficienti!$B$9*$A16)+Coefficienti!$B$10)*(1-Parametri!$B$4))*(1+Parametri!$B$5)+FerrGriglia!D15+Coefficienti!$B$11*Parametri!$B$6,2)*(1+Parametri!$B$7),2)</f>
        <v/>
      </c>
      <c r="E16" s="4">
        <f>ROUND(ROUND((((Coefficienti!$B$1+Coefficienti!$B$2*E$2+Coefficienti!$B$3*$A16)*Parametri!$B$1+(Coefficienti!$B$4+Coefficienti!$B$5*E$2+Coefficienti!$B$6*$A16)*Parametri!$B$2)*(1-Parametri!$B$3)+((Coefficienti!$B$7+Coefficienti!$B$8*E$2+Coefficienti!$B$9*$A16)+Coefficienti!$B$10)*(1-Parametri!$B$4))*(1+Parametri!$B$5)+FerrGriglia!E15+Coefficienti!$B$11*Parametri!$B$6,2)*(1+Parametri!$B$7),2)</f>
        <v/>
      </c>
      <c r="F16" s="4">
        <f>ROUND(ROUND((((Coefficienti!$B$1+Coefficienti!$B$2*F$2+Coefficienti!$B$3*$A16)*Parametri!$B$1+(Coefficienti!$B$4+Coefficienti!$B$5*F$2+Coefficienti!$B$6*$A16)*Parametri!$B$2)*(1-Parametri!$B$3)+((Coefficienti!$B$7+Coefficienti!$B$8*F$2+Coefficienti!$B$9*$A16)+Coefficienti!$B$10)*(1-Parametri!$B$4))*(1+Parametri!$B$5)+FerrGriglia!F15+Coefficienti!$B$11*Parametri!$B$6,2)*(1+Parametri!$B$7),2)</f>
        <v/>
      </c>
      <c r="G16" s="4">
        <f>ROUND(ROUND((((Coefficienti!$B$1+Coefficienti!$B$2*G$2+Coefficienti!$B$3*$A16)*Parametri!$B$1+(Coefficienti!$B$4+Coefficienti!$B$5*G$2+Coefficienti!$B$6*$A16)*Parametri!$B$2)*(1-Parametri!$B$3)+((Coefficienti!$B$7+Coefficienti!$B$8*G$2+Coefficienti!$B$9*$A16)+Coefficienti!$B$10)*(1-Parametri!$B$4))*(1+Parametri!$B$5)+FerrGriglia!G15+Coefficienti!$B$11*Parametri!$B$6,2)*(1+Parametri!$B$7),2)</f>
        <v/>
      </c>
      <c r="H16" s="4">
        <f>ROUND(ROUND((((Coefficienti!$B$1+Coefficienti!$B$2*H$2+Coefficienti!$B$3*$A16)*Parametri!$B$1+(Coefficienti!$B$4+Coefficienti!$B$5*H$2+Coefficienti!$B$6*$A16)*Parametri!$B$2)*(1-Parametri!$B$3)+((Coefficienti!$B$7+Coefficienti!$B$8*H$2+Coefficienti!$B$9*$A16)+Coefficienti!$B$10)*(1-Parametri!$B$4))*(1+Parametri!$B$5)+FerrGriglia!H15+Coefficienti!$B$11*Parametri!$B$6,2)*(1+Parametri!$B$7),2)</f>
        <v/>
      </c>
      <c r="I16" s="4">
        <f>ROUND(ROUND((((Coefficienti!$B$1+Coefficienti!$B$2*I$2+Coefficienti!$B$3*$A16)*Parametri!$B$1+(Coefficienti!$B$4+Coefficienti!$B$5*I$2+Coefficienti!$B$6*$A16)*Parametri!$B$2)*(1-Parametri!$B$3)+((Coefficienti!$B$7+Coefficienti!$B$8*I$2+Coefficienti!$B$9*$A16)+Coefficienti!$B$10)*(1-Parametri!$B$4))*(1+Parametri!$B$5)+FerrGriglia!I15+Coefficienti!$B$11*Parametri!$B$6,2)*(1+Parametri!$B$7),2)</f>
        <v/>
      </c>
      <c r="J16" s="4">
        <f>ROUND(ROUND((((Coefficienti!$B$1+Coefficienti!$B$2*J$2+Coefficienti!$B$3*$A16)*Parametri!$B$1+(Coefficienti!$B$4+Coefficienti!$B$5*J$2+Coefficienti!$B$6*$A16)*Parametri!$B$2)*(1-Parametri!$B$3)+((Coefficienti!$B$7+Coefficienti!$B$8*J$2+Coefficienti!$B$9*$A16)+Coefficienti!$B$10)*(1-Parametri!$B$4))*(1+Parametri!$B$5)+FerrGriglia!J15+Coefficienti!$B$11*Parametri!$B$6,2)*(1+Parametri!$B$7),2)</f>
        <v/>
      </c>
      <c r="K16" s="4">
        <f>ROUND(ROUND((((Coefficienti!$B$1+Coefficienti!$B$2*K$2+Coefficienti!$B$3*$A16)*Parametri!$B$1+(Coefficienti!$B$4+Coefficienti!$B$5*K$2+Coefficienti!$B$6*$A16)*Parametri!$B$2)*(1-Parametri!$B$3)+((Coefficienti!$B$7+Coefficienti!$B$8*K$2+Coefficienti!$B$9*$A16)+Coefficienti!$B$10)*(1-Parametri!$B$4))*(1+Parametri!$B$5)+FerrGriglia!K15+Coefficienti!$B$11*Parametri!$B$6,2)*(1+Parametri!$B$7),2)</f>
        <v/>
      </c>
      <c r="L16" s="4">
        <f>ROUND(ROUND((((Coefficienti!$B$1+Coefficienti!$B$2*L$2+Coefficienti!$B$3*$A16)*Parametri!$B$1+(Coefficienti!$B$4+Coefficienti!$B$5*L$2+Coefficienti!$B$6*$A16)*Parametri!$B$2)*(1-Parametri!$B$3)+((Coefficienti!$B$7+Coefficienti!$B$8*L$2+Coefficienti!$B$9*$A16)+Coefficienti!$B$10)*(1-Parametri!$B$4))*(1+Parametri!$B$5)+FerrGriglia!L15+Coefficienti!$B$11*Parametri!$B$6,2)*(1+Parametri!$B$7),2)</f>
        <v/>
      </c>
      <c r="M16" s="4">
        <f>ROUND(ROUND((((Coefficienti!$B$1+Coefficienti!$B$2*M$2+Coefficienti!$B$3*$A16)*Parametri!$B$1+(Coefficienti!$B$4+Coefficienti!$B$5*M$2+Coefficienti!$B$6*$A16)*Parametri!$B$2)*(1-Parametri!$B$3)+((Coefficienti!$B$7+Coefficienti!$B$8*M$2+Coefficienti!$B$9*$A16)+Coefficienti!$B$10)*(1-Parametri!$B$4))*(1+Parametri!$B$5)+FerrGriglia!M15+Coefficienti!$B$11*Parametri!$B$6,2)*(1+Parametri!$B$7),2)</f>
        <v/>
      </c>
      <c r="N16" s="4">
        <f>ROUND(ROUND((((Coefficienti!$B$1+Coefficienti!$B$2*N$2+Coefficienti!$B$3*$A16)*Parametri!$B$1+(Coefficienti!$B$4+Coefficienti!$B$5*N$2+Coefficienti!$B$6*$A16)*Parametri!$B$2)*(1-Parametri!$B$3)+((Coefficienti!$B$7+Coefficienti!$B$8*N$2+Coefficienti!$B$9*$A16)+Coefficienti!$B$10)*(1-Parametri!$B$4))*(1+Parametri!$B$5)+FerrGriglia!N15+Coefficienti!$B$11*Parametri!$B$6,2)*(1+Parametri!$B$7),2)</f>
        <v/>
      </c>
    </row>
    <row r="17">
      <c r="A17" s="2" t="n">
        <v>1900</v>
      </c>
      <c r="B17" s="4">
        <f>ROUND(ROUND((((Coefficienti!$B$1+Coefficienti!$B$2*B$2+Coefficienti!$B$3*$A17)*Parametri!$B$1+(Coefficienti!$B$4+Coefficienti!$B$5*B$2+Coefficienti!$B$6*$A17)*Parametri!$B$2)*(1-Parametri!$B$3)+((Coefficienti!$B$7+Coefficienti!$B$8*B$2+Coefficienti!$B$9*$A17)+Coefficienti!$B$10)*(1-Parametri!$B$4))*(1+Parametri!$B$5)+FerrGriglia!B16+Coefficienti!$B$11*Parametri!$B$6,2)*(1+Parametri!$B$7),2)</f>
        <v/>
      </c>
      <c r="C17" s="4">
        <f>ROUND(ROUND((((Coefficienti!$B$1+Coefficienti!$B$2*C$2+Coefficienti!$B$3*$A17)*Parametri!$B$1+(Coefficienti!$B$4+Coefficienti!$B$5*C$2+Coefficienti!$B$6*$A17)*Parametri!$B$2)*(1-Parametri!$B$3)+((Coefficienti!$B$7+Coefficienti!$B$8*C$2+Coefficienti!$B$9*$A17)+Coefficienti!$B$10)*(1-Parametri!$B$4))*(1+Parametri!$B$5)+FerrGriglia!C16+Coefficienti!$B$11*Parametri!$B$6,2)*(1+Parametri!$B$7),2)</f>
        <v/>
      </c>
      <c r="D17" s="4">
        <f>ROUND(ROUND((((Coefficienti!$B$1+Coefficienti!$B$2*D$2+Coefficienti!$B$3*$A17)*Parametri!$B$1+(Coefficienti!$B$4+Coefficienti!$B$5*D$2+Coefficienti!$B$6*$A17)*Parametri!$B$2)*(1-Parametri!$B$3)+((Coefficienti!$B$7+Coefficienti!$B$8*D$2+Coefficienti!$B$9*$A17)+Coefficienti!$B$10)*(1-Parametri!$B$4))*(1+Parametri!$B$5)+FerrGriglia!D16+Coefficienti!$B$11*Parametri!$B$6,2)*(1+Parametri!$B$7),2)</f>
        <v/>
      </c>
      <c r="E17" s="4">
        <f>ROUND(ROUND((((Coefficienti!$B$1+Coefficienti!$B$2*E$2+Coefficienti!$B$3*$A17)*Parametri!$B$1+(Coefficienti!$B$4+Coefficienti!$B$5*E$2+Coefficienti!$B$6*$A17)*Parametri!$B$2)*(1-Parametri!$B$3)+((Coefficienti!$B$7+Coefficienti!$B$8*E$2+Coefficienti!$B$9*$A17)+Coefficienti!$B$10)*(1-Parametri!$B$4))*(1+Parametri!$B$5)+FerrGriglia!E16+Coefficienti!$B$11*Parametri!$B$6,2)*(1+Parametri!$B$7),2)</f>
        <v/>
      </c>
      <c r="F17" s="4">
        <f>ROUND(ROUND((((Coefficienti!$B$1+Coefficienti!$B$2*F$2+Coefficienti!$B$3*$A17)*Parametri!$B$1+(Coefficienti!$B$4+Coefficienti!$B$5*F$2+Coefficienti!$B$6*$A17)*Parametri!$B$2)*(1-Parametri!$B$3)+((Coefficienti!$B$7+Coefficienti!$B$8*F$2+Coefficienti!$B$9*$A17)+Coefficienti!$B$10)*(1-Parametri!$B$4))*(1+Parametri!$B$5)+FerrGriglia!F16+Coefficienti!$B$11*Parametri!$B$6,2)*(1+Parametri!$B$7),2)</f>
        <v/>
      </c>
      <c r="G17" s="4">
        <f>ROUND(ROUND((((Coefficienti!$B$1+Coefficienti!$B$2*G$2+Coefficienti!$B$3*$A17)*Parametri!$B$1+(Coefficienti!$B$4+Coefficienti!$B$5*G$2+Coefficienti!$B$6*$A17)*Parametri!$B$2)*(1-Parametri!$B$3)+((Coefficienti!$B$7+Coefficienti!$B$8*G$2+Coefficienti!$B$9*$A17)+Coefficienti!$B$10)*(1-Parametri!$B$4))*(1+Parametri!$B$5)+FerrGriglia!G16+Coefficienti!$B$11*Parametri!$B$6,2)*(1+Parametri!$B$7),2)</f>
        <v/>
      </c>
      <c r="H17" s="4">
        <f>ROUND(ROUND((((Coefficienti!$B$1+Coefficienti!$B$2*H$2+Coefficienti!$B$3*$A17)*Parametri!$B$1+(Coefficienti!$B$4+Coefficienti!$B$5*H$2+Coefficienti!$B$6*$A17)*Parametri!$B$2)*(1-Parametri!$B$3)+((Coefficienti!$B$7+Coefficienti!$B$8*H$2+Coefficienti!$B$9*$A17)+Coefficienti!$B$10)*(1-Parametri!$B$4))*(1+Parametri!$B$5)+FerrGriglia!H16+Coefficienti!$B$11*Parametri!$B$6,2)*(1+Parametri!$B$7),2)</f>
        <v/>
      </c>
      <c r="I17" s="4">
        <f>ROUND(ROUND((((Coefficienti!$B$1+Coefficienti!$B$2*I$2+Coefficienti!$B$3*$A17)*Parametri!$B$1+(Coefficienti!$B$4+Coefficienti!$B$5*I$2+Coefficienti!$B$6*$A17)*Parametri!$B$2)*(1-Parametri!$B$3)+((Coefficienti!$B$7+Coefficienti!$B$8*I$2+Coefficienti!$B$9*$A17)+Coefficienti!$B$10)*(1-Parametri!$B$4))*(1+Parametri!$B$5)+FerrGriglia!I16+Coefficienti!$B$11*Parametri!$B$6,2)*(1+Parametri!$B$7),2)</f>
        <v/>
      </c>
      <c r="J17" s="4">
        <f>ROUND(ROUND((((Coefficienti!$B$1+Coefficienti!$B$2*J$2+Coefficienti!$B$3*$A17)*Parametri!$B$1+(Coefficienti!$B$4+Coefficienti!$B$5*J$2+Coefficienti!$B$6*$A17)*Parametri!$B$2)*(1-Parametri!$B$3)+((Coefficienti!$B$7+Coefficienti!$B$8*J$2+Coefficienti!$B$9*$A17)+Coefficienti!$B$10)*(1-Parametri!$B$4))*(1+Parametri!$B$5)+FerrGriglia!J16+Coefficienti!$B$11*Parametri!$B$6,2)*(1+Parametri!$B$7),2)</f>
        <v/>
      </c>
      <c r="K17" s="4">
        <f>ROUND(ROUND((((Coefficienti!$B$1+Coefficienti!$B$2*K$2+Coefficienti!$B$3*$A17)*Parametri!$B$1+(Coefficienti!$B$4+Coefficienti!$B$5*K$2+Coefficienti!$B$6*$A17)*Parametri!$B$2)*(1-Parametri!$B$3)+((Coefficienti!$B$7+Coefficienti!$B$8*K$2+Coefficienti!$B$9*$A17)+Coefficienti!$B$10)*(1-Parametri!$B$4))*(1+Parametri!$B$5)+FerrGriglia!K16+Coefficienti!$B$11*Parametri!$B$6,2)*(1+Parametri!$B$7),2)</f>
        <v/>
      </c>
      <c r="L17" s="4">
        <f>ROUND(ROUND((((Coefficienti!$B$1+Coefficienti!$B$2*L$2+Coefficienti!$B$3*$A17)*Parametri!$B$1+(Coefficienti!$B$4+Coefficienti!$B$5*L$2+Coefficienti!$B$6*$A17)*Parametri!$B$2)*(1-Parametri!$B$3)+((Coefficienti!$B$7+Coefficienti!$B$8*L$2+Coefficienti!$B$9*$A17)+Coefficienti!$B$10)*(1-Parametri!$B$4))*(1+Parametri!$B$5)+FerrGriglia!L16+Coefficienti!$B$11*Parametri!$B$6,2)*(1+Parametri!$B$7),2)</f>
        <v/>
      </c>
      <c r="M17" s="4">
        <f>ROUND(ROUND((((Coefficienti!$B$1+Coefficienti!$B$2*M$2+Coefficienti!$B$3*$A17)*Parametri!$B$1+(Coefficienti!$B$4+Coefficienti!$B$5*M$2+Coefficienti!$B$6*$A17)*Parametri!$B$2)*(1-Parametri!$B$3)+((Coefficienti!$B$7+Coefficienti!$B$8*M$2+Coefficienti!$B$9*$A17)+Coefficienti!$B$10)*(1-Parametri!$B$4))*(1+Parametri!$B$5)+FerrGriglia!M16+Coefficienti!$B$11*Parametri!$B$6,2)*(1+Parametri!$B$7),2)</f>
        <v/>
      </c>
      <c r="N17" s="4">
        <f>ROUND(ROUND((((Coefficienti!$B$1+Coefficienti!$B$2*N$2+Coefficienti!$B$3*$A17)*Parametri!$B$1+(Coefficienti!$B$4+Coefficienti!$B$5*N$2+Coefficienti!$B$6*$A17)*Parametri!$B$2)*(1-Parametri!$B$3)+((Coefficienti!$B$7+Coefficienti!$B$8*N$2+Coefficienti!$B$9*$A17)+Coefficienti!$B$10)*(1-Parametri!$B$4))*(1+Parametri!$B$5)+FerrGriglia!N16+Coefficienti!$B$11*Parametri!$B$6,2)*(1+Parametri!$B$7),2)</f>
        <v/>
      </c>
    </row>
    <row r="18">
      <c r="A18" s="2" t="n">
        <v>2000</v>
      </c>
      <c r="B18" s="4">
        <f>ROUND(ROUND((((Coefficienti!$B$1+Coefficienti!$B$2*B$2+Coefficienti!$B$3*$A18)*Parametri!$B$1+(Coefficienti!$B$4+Coefficienti!$B$5*B$2+Coefficienti!$B$6*$A18)*Parametri!$B$2)*(1-Parametri!$B$3)+((Coefficienti!$B$7+Coefficienti!$B$8*B$2+Coefficienti!$B$9*$A18)+Coefficienti!$B$10)*(1-Parametri!$B$4))*(1+Parametri!$B$5)+FerrGriglia!B17+Coefficienti!$B$11*Parametri!$B$6,2)*(1+Parametri!$B$7),2)</f>
        <v/>
      </c>
      <c r="C18" s="4">
        <f>ROUND(ROUND((((Coefficienti!$B$1+Coefficienti!$B$2*C$2+Coefficienti!$B$3*$A18)*Parametri!$B$1+(Coefficienti!$B$4+Coefficienti!$B$5*C$2+Coefficienti!$B$6*$A18)*Parametri!$B$2)*(1-Parametri!$B$3)+((Coefficienti!$B$7+Coefficienti!$B$8*C$2+Coefficienti!$B$9*$A18)+Coefficienti!$B$10)*(1-Parametri!$B$4))*(1+Parametri!$B$5)+FerrGriglia!C17+Coefficienti!$B$11*Parametri!$B$6,2)*(1+Parametri!$B$7),2)</f>
        <v/>
      </c>
      <c r="D18" s="4">
        <f>ROUND(ROUND((((Coefficienti!$B$1+Coefficienti!$B$2*D$2+Coefficienti!$B$3*$A18)*Parametri!$B$1+(Coefficienti!$B$4+Coefficienti!$B$5*D$2+Coefficienti!$B$6*$A18)*Parametri!$B$2)*(1-Parametri!$B$3)+((Coefficienti!$B$7+Coefficienti!$B$8*D$2+Coefficienti!$B$9*$A18)+Coefficienti!$B$10)*(1-Parametri!$B$4))*(1+Parametri!$B$5)+FerrGriglia!D17+Coefficienti!$B$11*Parametri!$B$6,2)*(1+Parametri!$B$7),2)</f>
        <v/>
      </c>
      <c r="E18" s="4">
        <f>ROUND(ROUND((((Coefficienti!$B$1+Coefficienti!$B$2*E$2+Coefficienti!$B$3*$A18)*Parametri!$B$1+(Coefficienti!$B$4+Coefficienti!$B$5*E$2+Coefficienti!$B$6*$A18)*Parametri!$B$2)*(1-Parametri!$B$3)+((Coefficienti!$B$7+Coefficienti!$B$8*E$2+Coefficienti!$B$9*$A18)+Coefficienti!$B$10)*(1-Parametri!$B$4))*(1+Parametri!$B$5)+FerrGriglia!E17+Coefficienti!$B$11*Parametri!$B$6,2)*(1+Parametri!$B$7),2)</f>
        <v/>
      </c>
      <c r="F18" s="4">
        <f>ROUND(ROUND((((Coefficienti!$B$1+Coefficienti!$B$2*F$2+Coefficienti!$B$3*$A18)*Parametri!$B$1+(Coefficienti!$B$4+Coefficienti!$B$5*F$2+Coefficienti!$B$6*$A18)*Parametri!$B$2)*(1-Parametri!$B$3)+((Coefficienti!$B$7+Coefficienti!$B$8*F$2+Coefficienti!$B$9*$A18)+Coefficienti!$B$10)*(1-Parametri!$B$4))*(1+Parametri!$B$5)+FerrGriglia!F17+Coefficienti!$B$11*Parametri!$B$6,2)*(1+Parametri!$B$7),2)</f>
        <v/>
      </c>
      <c r="G18" s="4">
        <f>ROUND(ROUND((((Coefficienti!$B$1+Coefficienti!$B$2*G$2+Coefficienti!$B$3*$A18)*Parametri!$B$1+(Coefficienti!$B$4+Coefficienti!$B$5*G$2+Coefficienti!$B$6*$A18)*Parametri!$B$2)*(1-Parametri!$B$3)+((Coefficienti!$B$7+Coefficienti!$B$8*G$2+Coefficienti!$B$9*$A18)+Coefficienti!$B$10)*(1-Parametri!$B$4))*(1+Parametri!$B$5)+FerrGriglia!G17+Coefficienti!$B$11*Parametri!$B$6,2)*(1+Parametri!$B$7),2)</f>
        <v/>
      </c>
      <c r="H18" s="4">
        <f>ROUND(ROUND((((Coefficienti!$B$1+Coefficienti!$B$2*H$2+Coefficienti!$B$3*$A18)*Parametri!$B$1+(Coefficienti!$B$4+Coefficienti!$B$5*H$2+Coefficienti!$B$6*$A18)*Parametri!$B$2)*(1-Parametri!$B$3)+((Coefficienti!$B$7+Coefficienti!$B$8*H$2+Coefficienti!$B$9*$A18)+Coefficienti!$B$10)*(1-Parametri!$B$4))*(1+Parametri!$B$5)+FerrGriglia!H17+Coefficienti!$B$11*Parametri!$B$6,2)*(1+Parametri!$B$7),2)</f>
        <v/>
      </c>
      <c r="I18" s="4">
        <f>ROUND(ROUND((((Coefficienti!$B$1+Coefficienti!$B$2*I$2+Coefficienti!$B$3*$A18)*Parametri!$B$1+(Coefficienti!$B$4+Coefficienti!$B$5*I$2+Coefficienti!$B$6*$A18)*Parametri!$B$2)*(1-Parametri!$B$3)+((Coefficienti!$B$7+Coefficienti!$B$8*I$2+Coefficienti!$B$9*$A18)+Coefficienti!$B$10)*(1-Parametri!$B$4))*(1+Parametri!$B$5)+FerrGriglia!I17+Coefficienti!$B$11*Parametri!$B$6,2)*(1+Parametri!$B$7),2)</f>
        <v/>
      </c>
      <c r="J18" s="4">
        <f>ROUND(ROUND((((Coefficienti!$B$1+Coefficienti!$B$2*J$2+Coefficienti!$B$3*$A18)*Parametri!$B$1+(Coefficienti!$B$4+Coefficienti!$B$5*J$2+Coefficienti!$B$6*$A18)*Parametri!$B$2)*(1-Parametri!$B$3)+((Coefficienti!$B$7+Coefficienti!$B$8*J$2+Coefficienti!$B$9*$A18)+Coefficienti!$B$10)*(1-Parametri!$B$4))*(1+Parametri!$B$5)+FerrGriglia!J17+Coefficienti!$B$11*Parametri!$B$6,2)*(1+Parametri!$B$7),2)</f>
        <v/>
      </c>
      <c r="K18" s="4">
        <f>ROUND(ROUND((((Coefficienti!$B$1+Coefficienti!$B$2*K$2+Coefficienti!$B$3*$A18)*Parametri!$B$1+(Coefficienti!$B$4+Coefficienti!$B$5*K$2+Coefficienti!$B$6*$A18)*Parametri!$B$2)*(1-Parametri!$B$3)+((Coefficienti!$B$7+Coefficienti!$B$8*K$2+Coefficienti!$B$9*$A18)+Coefficienti!$B$10)*(1-Parametri!$B$4))*(1+Parametri!$B$5)+FerrGriglia!K17+Coefficienti!$B$11*Parametri!$B$6,2)*(1+Parametri!$B$7),2)</f>
        <v/>
      </c>
      <c r="L18" s="4">
        <f>ROUND(ROUND((((Coefficienti!$B$1+Coefficienti!$B$2*L$2+Coefficienti!$B$3*$A18)*Parametri!$B$1+(Coefficienti!$B$4+Coefficienti!$B$5*L$2+Coefficienti!$B$6*$A18)*Parametri!$B$2)*(1-Parametri!$B$3)+((Coefficienti!$B$7+Coefficienti!$B$8*L$2+Coefficienti!$B$9*$A18)+Coefficienti!$B$10)*(1-Parametri!$B$4))*(1+Parametri!$B$5)+FerrGriglia!L17+Coefficienti!$B$11*Parametri!$B$6,2)*(1+Parametri!$B$7),2)</f>
        <v/>
      </c>
      <c r="M18" s="4">
        <f>ROUND(ROUND((((Coefficienti!$B$1+Coefficienti!$B$2*M$2+Coefficienti!$B$3*$A18)*Parametri!$B$1+(Coefficienti!$B$4+Coefficienti!$B$5*M$2+Coefficienti!$B$6*$A18)*Parametri!$B$2)*(1-Parametri!$B$3)+((Coefficienti!$B$7+Coefficienti!$B$8*M$2+Coefficienti!$B$9*$A18)+Coefficienti!$B$10)*(1-Parametri!$B$4))*(1+Parametri!$B$5)+FerrGriglia!M17+Coefficienti!$B$11*Parametri!$B$6,2)*(1+Parametri!$B$7),2)</f>
        <v/>
      </c>
      <c r="N18" s="4">
        <f>ROUND(ROUND((((Coefficienti!$B$1+Coefficienti!$B$2*N$2+Coefficienti!$B$3*$A18)*Parametri!$B$1+(Coefficienti!$B$4+Coefficienti!$B$5*N$2+Coefficienti!$B$6*$A18)*Parametri!$B$2)*(1-Parametri!$B$3)+((Coefficienti!$B$7+Coefficienti!$B$8*N$2+Coefficienti!$B$9*$A18)+Coefficienti!$B$10)*(1-Parametri!$B$4))*(1+Parametri!$B$5)+FerrGriglia!N17+Coefficienti!$B$11*Parametri!$B$6,2)*(1+Parametri!$B$7),2)</f>
        <v/>
      </c>
    </row>
    <row r="21">
      <c r="A21" s="1" t="inlineStr">
        <is>
          <t>COSTO SERRAMENTO (materiale scontato + sfrido + manodopera)</t>
        </is>
      </c>
    </row>
    <row r="22">
      <c r="A22" s="2" t="inlineStr">
        <is>
          <t>H/L</t>
        </is>
      </c>
      <c r="B22" s="3" t="n">
        <v>800</v>
      </c>
      <c r="C22" s="3" t="n">
        <v>900</v>
      </c>
      <c r="D22" s="3" t="n">
        <v>1000</v>
      </c>
      <c r="E22" s="3" t="n">
        <v>1100</v>
      </c>
      <c r="F22" s="3" t="n">
        <v>1200</v>
      </c>
      <c r="G22" s="3" t="n">
        <v>1300</v>
      </c>
      <c r="H22" s="3" t="n">
        <v>1400</v>
      </c>
      <c r="I22" s="3" t="n">
        <v>1500</v>
      </c>
      <c r="J22" s="3" t="n">
        <v>1600</v>
      </c>
      <c r="K22" s="3" t="n">
        <v>1700</v>
      </c>
      <c r="L22" s="3" t="n">
        <v>1800</v>
      </c>
      <c r="M22" s="3" t="n">
        <v>1900</v>
      </c>
      <c r="N22" s="3" t="n">
        <v>2000</v>
      </c>
    </row>
    <row r="23">
      <c r="A23" s="2" t="n">
        <v>500</v>
      </c>
      <c r="B23" s="4">
        <f>ROUND((((Coefficienti!$B$1+Coefficienti!$B$2*B$22+Coefficienti!$B$3*$A23)*Parametri!$B$1+(Coefficienti!$B$4+Coefficienti!$B$5*B$22+Coefficienti!$B$6*$A23)*Parametri!$B$2)*(1-Parametri!$B$3)+((Coefficienti!$B$7+Coefficienti!$B$8*B$22+Coefficienti!$B$9*$A23)+Coefficienti!$B$10)*(1-Parametri!$B$4))*(1+Parametri!$B$5)+FerrGriglia!B2+Coefficienti!$B$11*Parametri!$B$6,2)</f>
        <v/>
      </c>
      <c r="C23" s="4">
        <f>ROUND((((Coefficienti!$B$1+Coefficienti!$B$2*C$22+Coefficienti!$B$3*$A23)*Parametri!$B$1+(Coefficienti!$B$4+Coefficienti!$B$5*C$22+Coefficienti!$B$6*$A23)*Parametri!$B$2)*(1-Parametri!$B$3)+((Coefficienti!$B$7+Coefficienti!$B$8*C$22+Coefficienti!$B$9*$A23)+Coefficienti!$B$10)*(1-Parametri!$B$4))*(1+Parametri!$B$5)+FerrGriglia!C2+Coefficienti!$B$11*Parametri!$B$6,2)</f>
        <v/>
      </c>
      <c r="D23" s="4">
        <f>ROUND((((Coefficienti!$B$1+Coefficienti!$B$2*D$22+Coefficienti!$B$3*$A23)*Parametri!$B$1+(Coefficienti!$B$4+Coefficienti!$B$5*D$22+Coefficienti!$B$6*$A23)*Parametri!$B$2)*(1-Parametri!$B$3)+((Coefficienti!$B$7+Coefficienti!$B$8*D$22+Coefficienti!$B$9*$A23)+Coefficienti!$B$10)*(1-Parametri!$B$4))*(1+Parametri!$B$5)+FerrGriglia!D2+Coefficienti!$B$11*Parametri!$B$6,2)</f>
        <v/>
      </c>
      <c r="E23" s="4">
        <f>ROUND((((Coefficienti!$B$1+Coefficienti!$B$2*E$22+Coefficienti!$B$3*$A23)*Parametri!$B$1+(Coefficienti!$B$4+Coefficienti!$B$5*E$22+Coefficienti!$B$6*$A23)*Parametri!$B$2)*(1-Parametri!$B$3)+((Coefficienti!$B$7+Coefficienti!$B$8*E$22+Coefficienti!$B$9*$A23)+Coefficienti!$B$10)*(1-Parametri!$B$4))*(1+Parametri!$B$5)+FerrGriglia!E2+Coefficienti!$B$11*Parametri!$B$6,2)</f>
        <v/>
      </c>
      <c r="F23" s="4">
        <f>ROUND((((Coefficienti!$B$1+Coefficienti!$B$2*F$22+Coefficienti!$B$3*$A23)*Parametri!$B$1+(Coefficienti!$B$4+Coefficienti!$B$5*F$22+Coefficienti!$B$6*$A23)*Parametri!$B$2)*(1-Parametri!$B$3)+((Coefficienti!$B$7+Coefficienti!$B$8*F$22+Coefficienti!$B$9*$A23)+Coefficienti!$B$10)*(1-Parametri!$B$4))*(1+Parametri!$B$5)+FerrGriglia!F2+Coefficienti!$B$11*Parametri!$B$6,2)</f>
        <v/>
      </c>
      <c r="G23" s="4">
        <f>ROUND((((Coefficienti!$B$1+Coefficienti!$B$2*G$22+Coefficienti!$B$3*$A23)*Parametri!$B$1+(Coefficienti!$B$4+Coefficienti!$B$5*G$22+Coefficienti!$B$6*$A23)*Parametri!$B$2)*(1-Parametri!$B$3)+((Coefficienti!$B$7+Coefficienti!$B$8*G$22+Coefficienti!$B$9*$A23)+Coefficienti!$B$10)*(1-Parametri!$B$4))*(1+Parametri!$B$5)+FerrGriglia!G2+Coefficienti!$B$11*Parametri!$B$6,2)</f>
        <v/>
      </c>
      <c r="H23" s="4">
        <f>ROUND((((Coefficienti!$B$1+Coefficienti!$B$2*H$22+Coefficienti!$B$3*$A23)*Parametri!$B$1+(Coefficienti!$B$4+Coefficienti!$B$5*H$22+Coefficienti!$B$6*$A23)*Parametri!$B$2)*(1-Parametri!$B$3)+((Coefficienti!$B$7+Coefficienti!$B$8*H$22+Coefficienti!$B$9*$A23)+Coefficienti!$B$10)*(1-Parametri!$B$4))*(1+Parametri!$B$5)+FerrGriglia!H2+Coefficienti!$B$11*Parametri!$B$6,2)</f>
        <v/>
      </c>
      <c r="I23" s="4">
        <f>ROUND((((Coefficienti!$B$1+Coefficienti!$B$2*I$22+Coefficienti!$B$3*$A23)*Parametri!$B$1+(Coefficienti!$B$4+Coefficienti!$B$5*I$22+Coefficienti!$B$6*$A23)*Parametri!$B$2)*(1-Parametri!$B$3)+((Coefficienti!$B$7+Coefficienti!$B$8*I$22+Coefficienti!$B$9*$A23)+Coefficienti!$B$10)*(1-Parametri!$B$4))*(1+Parametri!$B$5)+FerrGriglia!I2+Coefficienti!$B$11*Parametri!$B$6,2)</f>
        <v/>
      </c>
      <c r="J23" s="4">
        <f>ROUND((((Coefficienti!$B$1+Coefficienti!$B$2*J$22+Coefficienti!$B$3*$A23)*Parametri!$B$1+(Coefficienti!$B$4+Coefficienti!$B$5*J$22+Coefficienti!$B$6*$A23)*Parametri!$B$2)*(1-Parametri!$B$3)+((Coefficienti!$B$7+Coefficienti!$B$8*J$22+Coefficienti!$B$9*$A23)+Coefficienti!$B$10)*(1-Parametri!$B$4))*(1+Parametri!$B$5)+FerrGriglia!J2+Coefficienti!$B$11*Parametri!$B$6,2)</f>
        <v/>
      </c>
      <c r="K23" s="4">
        <f>ROUND((((Coefficienti!$B$1+Coefficienti!$B$2*K$22+Coefficienti!$B$3*$A23)*Parametri!$B$1+(Coefficienti!$B$4+Coefficienti!$B$5*K$22+Coefficienti!$B$6*$A23)*Parametri!$B$2)*(1-Parametri!$B$3)+((Coefficienti!$B$7+Coefficienti!$B$8*K$22+Coefficienti!$B$9*$A23)+Coefficienti!$B$10)*(1-Parametri!$B$4))*(1+Parametri!$B$5)+FerrGriglia!K2+Coefficienti!$B$11*Parametri!$B$6,2)</f>
        <v/>
      </c>
      <c r="L23" s="4">
        <f>ROUND((((Coefficienti!$B$1+Coefficienti!$B$2*L$22+Coefficienti!$B$3*$A23)*Parametri!$B$1+(Coefficienti!$B$4+Coefficienti!$B$5*L$22+Coefficienti!$B$6*$A23)*Parametri!$B$2)*(1-Parametri!$B$3)+((Coefficienti!$B$7+Coefficienti!$B$8*L$22+Coefficienti!$B$9*$A23)+Coefficienti!$B$10)*(1-Parametri!$B$4))*(1+Parametri!$B$5)+FerrGriglia!L2+Coefficienti!$B$11*Parametri!$B$6,2)</f>
        <v/>
      </c>
      <c r="M23" s="4">
        <f>ROUND((((Coefficienti!$B$1+Coefficienti!$B$2*M$22+Coefficienti!$B$3*$A23)*Parametri!$B$1+(Coefficienti!$B$4+Coefficienti!$B$5*M$22+Coefficienti!$B$6*$A23)*Parametri!$B$2)*(1-Parametri!$B$3)+((Coefficienti!$B$7+Coefficienti!$B$8*M$22+Coefficienti!$B$9*$A23)+Coefficienti!$B$10)*(1-Parametri!$B$4))*(1+Parametri!$B$5)+FerrGriglia!M2+Coefficienti!$B$11*Parametri!$B$6,2)</f>
        <v/>
      </c>
      <c r="N23" s="4">
        <f>ROUND((((Coefficienti!$B$1+Coefficienti!$B$2*N$22+Coefficienti!$B$3*$A23)*Parametri!$B$1+(Coefficienti!$B$4+Coefficienti!$B$5*N$22+Coefficienti!$B$6*$A23)*Parametri!$B$2)*(1-Parametri!$B$3)+((Coefficienti!$B$7+Coefficienti!$B$8*N$22+Coefficienti!$B$9*$A23)+Coefficienti!$B$10)*(1-Parametri!$B$4))*(1+Parametri!$B$5)+FerrGriglia!N2+Coefficienti!$B$11*Parametri!$B$6,2)</f>
        <v/>
      </c>
    </row>
    <row r="24">
      <c r="A24" s="2" t="n">
        <v>600</v>
      </c>
      <c r="B24" s="4">
        <f>ROUND((((Coefficienti!$B$1+Coefficienti!$B$2*B$22+Coefficienti!$B$3*$A24)*Parametri!$B$1+(Coefficienti!$B$4+Coefficienti!$B$5*B$22+Coefficienti!$B$6*$A24)*Parametri!$B$2)*(1-Parametri!$B$3)+((Coefficienti!$B$7+Coefficienti!$B$8*B$22+Coefficienti!$B$9*$A24)+Coefficienti!$B$10)*(1-Parametri!$B$4))*(1+Parametri!$B$5)+FerrGriglia!B3+Coefficienti!$B$11*Parametri!$B$6,2)</f>
        <v/>
      </c>
      <c r="C24" s="4">
        <f>ROUND((((Coefficienti!$B$1+Coefficienti!$B$2*C$22+Coefficienti!$B$3*$A24)*Parametri!$B$1+(Coefficienti!$B$4+Coefficienti!$B$5*C$22+Coefficienti!$B$6*$A24)*Parametri!$B$2)*(1-Parametri!$B$3)+((Coefficienti!$B$7+Coefficienti!$B$8*C$22+Coefficienti!$B$9*$A24)+Coefficienti!$B$10)*(1-Parametri!$B$4))*(1+Parametri!$B$5)+FerrGriglia!C3+Coefficienti!$B$11*Parametri!$B$6,2)</f>
        <v/>
      </c>
      <c r="D24" s="4">
        <f>ROUND((((Coefficienti!$B$1+Coefficienti!$B$2*D$22+Coefficienti!$B$3*$A24)*Parametri!$B$1+(Coefficienti!$B$4+Coefficienti!$B$5*D$22+Coefficienti!$B$6*$A24)*Parametri!$B$2)*(1-Parametri!$B$3)+((Coefficienti!$B$7+Coefficienti!$B$8*D$22+Coefficienti!$B$9*$A24)+Coefficienti!$B$10)*(1-Parametri!$B$4))*(1+Parametri!$B$5)+FerrGriglia!D3+Coefficienti!$B$11*Parametri!$B$6,2)</f>
        <v/>
      </c>
      <c r="E24" s="4">
        <f>ROUND((((Coefficienti!$B$1+Coefficienti!$B$2*E$22+Coefficienti!$B$3*$A24)*Parametri!$B$1+(Coefficienti!$B$4+Coefficienti!$B$5*E$22+Coefficienti!$B$6*$A24)*Parametri!$B$2)*(1-Parametri!$B$3)+((Coefficienti!$B$7+Coefficienti!$B$8*E$22+Coefficienti!$B$9*$A24)+Coefficienti!$B$10)*(1-Parametri!$B$4))*(1+Parametri!$B$5)+FerrGriglia!E3+Coefficienti!$B$11*Parametri!$B$6,2)</f>
        <v/>
      </c>
      <c r="F24" s="4">
        <f>ROUND((((Coefficienti!$B$1+Coefficienti!$B$2*F$22+Coefficienti!$B$3*$A24)*Parametri!$B$1+(Coefficienti!$B$4+Coefficienti!$B$5*F$22+Coefficienti!$B$6*$A24)*Parametri!$B$2)*(1-Parametri!$B$3)+((Coefficienti!$B$7+Coefficienti!$B$8*F$22+Coefficienti!$B$9*$A24)+Coefficienti!$B$10)*(1-Parametri!$B$4))*(1+Parametri!$B$5)+FerrGriglia!F3+Coefficienti!$B$11*Parametri!$B$6,2)</f>
        <v/>
      </c>
      <c r="G24" s="4">
        <f>ROUND((((Coefficienti!$B$1+Coefficienti!$B$2*G$22+Coefficienti!$B$3*$A24)*Parametri!$B$1+(Coefficienti!$B$4+Coefficienti!$B$5*G$22+Coefficienti!$B$6*$A24)*Parametri!$B$2)*(1-Parametri!$B$3)+((Coefficienti!$B$7+Coefficienti!$B$8*G$22+Coefficienti!$B$9*$A24)+Coefficienti!$B$10)*(1-Parametri!$B$4))*(1+Parametri!$B$5)+FerrGriglia!G3+Coefficienti!$B$11*Parametri!$B$6,2)</f>
        <v/>
      </c>
      <c r="H24" s="4">
        <f>ROUND((((Coefficienti!$B$1+Coefficienti!$B$2*H$22+Coefficienti!$B$3*$A24)*Parametri!$B$1+(Coefficienti!$B$4+Coefficienti!$B$5*H$22+Coefficienti!$B$6*$A24)*Parametri!$B$2)*(1-Parametri!$B$3)+((Coefficienti!$B$7+Coefficienti!$B$8*H$22+Coefficienti!$B$9*$A24)+Coefficienti!$B$10)*(1-Parametri!$B$4))*(1+Parametri!$B$5)+FerrGriglia!H3+Coefficienti!$B$11*Parametri!$B$6,2)</f>
        <v/>
      </c>
      <c r="I24" s="4">
        <f>ROUND((((Coefficienti!$B$1+Coefficienti!$B$2*I$22+Coefficienti!$B$3*$A24)*Parametri!$B$1+(Coefficienti!$B$4+Coefficienti!$B$5*I$22+Coefficienti!$B$6*$A24)*Parametri!$B$2)*(1-Parametri!$B$3)+((Coefficienti!$B$7+Coefficienti!$B$8*I$22+Coefficienti!$B$9*$A24)+Coefficienti!$B$10)*(1-Parametri!$B$4))*(1+Parametri!$B$5)+FerrGriglia!I3+Coefficienti!$B$11*Parametri!$B$6,2)</f>
        <v/>
      </c>
      <c r="J24" s="4">
        <f>ROUND((((Coefficienti!$B$1+Coefficienti!$B$2*J$22+Coefficienti!$B$3*$A24)*Parametri!$B$1+(Coefficienti!$B$4+Coefficienti!$B$5*J$22+Coefficienti!$B$6*$A24)*Parametri!$B$2)*(1-Parametri!$B$3)+((Coefficienti!$B$7+Coefficienti!$B$8*J$22+Coefficienti!$B$9*$A24)+Coefficienti!$B$10)*(1-Parametri!$B$4))*(1+Parametri!$B$5)+FerrGriglia!J3+Coefficienti!$B$11*Parametri!$B$6,2)</f>
        <v/>
      </c>
      <c r="K24" s="4">
        <f>ROUND((((Coefficienti!$B$1+Coefficienti!$B$2*K$22+Coefficienti!$B$3*$A24)*Parametri!$B$1+(Coefficienti!$B$4+Coefficienti!$B$5*K$22+Coefficienti!$B$6*$A24)*Parametri!$B$2)*(1-Parametri!$B$3)+((Coefficienti!$B$7+Coefficienti!$B$8*K$22+Coefficienti!$B$9*$A24)+Coefficienti!$B$10)*(1-Parametri!$B$4))*(1+Parametri!$B$5)+FerrGriglia!K3+Coefficienti!$B$11*Parametri!$B$6,2)</f>
        <v/>
      </c>
      <c r="L24" s="4">
        <f>ROUND((((Coefficienti!$B$1+Coefficienti!$B$2*L$22+Coefficienti!$B$3*$A24)*Parametri!$B$1+(Coefficienti!$B$4+Coefficienti!$B$5*L$22+Coefficienti!$B$6*$A24)*Parametri!$B$2)*(1-Parametri!$B$3)+((Coefficienti!$B$7+Coefficienti!$B$8*L$22+Coefficienti!$B$9*$A24)+Coefficienti!$B$10)*(1-Parametri!$B$4))*(1+Parametri!$B$5)+FerrGriglia!L3+Coefficienti!$B$11*Parametri!$B$6,2)</f>
        <v/>
      </c>
      <c r="M24" s="4">
        <f>ROUND((((Coefficienti!$B$1+Coefficienti!$B$2*M$22+Coefficienti!$B$3*$A24)*Parametri!$B$1+(Coefficienti!$B$4+Coefficienti!$B$5*M$22+Coefficienti!$B$6*$A24)*Parametri!$B$2)*(1-Parametri!$B$3)+((Coefficienti!$B$7+Coefficienti!$B$8*M$22+Coefficienti!$B$9*$A24)+Coefficienti!$B$10)*(1-Parametri!$B$4))*(1+Parametri!$B$5)+FerrGriglia!M3+Coefficienti!$B$11*Parametri!$B$6,2)</f>
        <v/>
      </c>
      <c r="N24" s="4">
        <f>ROUND((((Coefficienti!$B$1+Coefficienti!$B$2*N$22+Coefficienti!$B$3*$A24)*Parametri!$B$1+(Coefficienti!$B$4+Coefficienti!$B$5*N$22+Coefficienti!$B$6*$A24)*Parametri!$B$2)*(1-Parametri!$B$3)+((Coefficienti!$B$7+Coefficienti!$B$8*N$22+Coefficienti!$B$9*$A24)+Coefficienti!$B$10)*(1-Parametri!$B$4))*(1+Parametri!$B$5)+FerrGriglia!N3+Coefficienti!$B$11*Parametri!$B$6,2)</f>
        <v/>
      </c>
    </row>
    <row r="25">
      <c r="A25" s="2" t="n">
        <v>700</v>
      </c>
      <c r="B25" s="4">
        <f>ROUND((((Coefficienti!$B$1+Coefficienti!$B$2*B$22+Coefficienti!$B$3*$A25)*Parametri!$B$1+(Coefficienti!$B$4+Coefficienti!$B$5*B$22+Coefficienti!$B$6*$A25)*Parametri!$B$2)*(1-Parametri!$B$3)+((Coefficienti!$B$7+Coefficienti!$B$8*B$22+Coefficienti!$B$9*$A25)+Coefficienti!$B$10)*(1-Parametri!$B$4))*(1+Parametri!$B$5)+FerrGriglia!B4+Coefficienti!$B$11*Parametri!$B$6,2)</f>
        <v/>
      </c>
      <c r="C25" s="4">
        <f>ROUND((((Coefficienti!$B$1+Coefficienti!$B$2*C$22+Coefficienti!$B$3*$A25)*Parametri!$B$1+(Coefficienti!$B$4+Coefficienti!$B$5*C$22+Coefficienti!$B$6*$A25)*Parametri!$B$2)*(1-Parametri!$B$3)+((Coefficienti!$B$7+Coefficienti!$B$8*C$22+Coefficienti!$B$9*$A25)+Coefficienti!$B$10)*(1-Parametri!$B$4))*(1+Parametri!$B$5)+FerrGriglia!C4+Coefficienti!$B$11*Parametri!$B$6,2)</f>
        <v/>
      </c>
      <c r="D25" s="4">
        <f>ROUND((((Coefficienti!$B$1+Coefficienti!$B$2*D$22+Coefficienti!$B$3*$A25)*Parametri!$B$1+(Coefficienti!$B$4+Coefficienti!$B$5*D$22+Coefficienti!$B$6*$A25)*Parametri!$B$2)*(1-Parametri!$B$3)+((Coefficienti!$B$7+Coefficienti!$B$8*D$22+Coefficienti!$B$9*$A25)+Coefficienti!$B$10)*(1-Parametri!$B$4))*(1+Parametri!$B$5)+FerrGriglia!D4+Coefficienti!$B$11*Parametri!$B$6,2)</f>
        <v/>
      </c>
      <c r="E25" s="4">
        <f>ROUND((((Coefficienti!$B$1+Coefficienti!$B$2*E$22+Coefficienti!$B$3*$A25)*Parametri!$B$1+(Coefficienti!$B$4+Coefficienti!$B$5*E$22+Coefficienti!$B$6*$A25)*Parametri!$B$2)*(1-Parametri!$B$3)+((Coefficienti!$B$7+Coefficienti!$B$8*E$22+Coefficienti!$B$9*$A25)+Coefficienti!$B$10)*(1-Parametri!$B$4))*(1+Parametri!$B$5)+FerrGriglia!E4+Coefficienti!$B$11*Parametri!$B$6,2)</f>
        <v/>
      </c>
      <c r="F25" s="4">
        <f>ROUND((((Coefficienti!$B$1+Coefficienti!$B$2*F$22+Coefficienti!$B$3*$A25)*Parametri!$B$1+(Coefficienti!$B$4+Coefficienti!$B$5*F$22+Coefficienti!$B$6*$A25)*Parametri!$B$2)*(1-Parametri!$B$3)+((Coefficienti!$B$7+Coefficienti!$B$8*F$22+Coefficienti!$B$9*$A25)+Coefficienti!$B$10)*(1-Parametri!$B$4))*(1+Parametri!$B$5)+FerrGriglia!F4+Coefficienti!$B$11*Parametri!$B$6,2)</f>
        <v/>
      </c>
      <c r="G25" s="4">
        <f>ROUND((((Coefficienti!$B$1+Coefficienti!$B$2*G$22+Coefficienti!$B$3*$A25)*Parametri!$B$1+(Coefficienti!$B$4+Coefficienti!$B$5*G$22+Coefficienti!$B$6*$A25)*Parametri!$B$2)*(1-Parametri!$B$3)+((Coefficienti!$B$7+Coefficienti!$B$8*G$22+Coefficienti!$B$9*$A25)+Coefficienti!$B$10)*(1-Parametri!$B$4))*(1+Parametri!$B$5)+FerrGriglia!G4+Coefficienti!$B$11*Parametri!$B$6,2)</f>
        <v/>
      </c>
      <c r="H25" s="4">
        <f>ROUND((((Coefficienti!$B$1+Coefficienti!$B$2*H$22+Coefficienti!$B$3*$A25)*Parametri!$B$1+(Coefficienti!$B$4+Coefficienti!$B$5*H$22+Coefficienti!$B$6*$A25)*Parametri!$B$2)*(1-Parametri!$B$3)+((Coefficienti!$B$7+Coefficienti!$B$8*H$22+Coefficienti!$B$9*$A25)+Coefficienti!$B$10)*(1-Parametri!$B$4))*(1+Parametri!$B$5)+FerrGriglia!H4+Coefficienti!$B$11*Parametri!$B$6,2)</f>
        <v/>
      </c>
      <c r="I25" s="4">
        <f>ROUND((((Coefficienti!$B$1+Coefficienti!$B$2*I$22+Coefficienti!$B$3*$A25)*Parametri!$B$1+(Coefficienti!$B$4+Coefficienti!$B$5*I$22+Coefficienti!$B$6*$A25)*Parametri!$B$2)*(1-Parametri!$B$3)+((Coefficienti!$B$7+Coefficienti!$B$8*I$22+Coefficienti!$B$9*$A25)+Coefficienti!$B$10)*(1-Parametri!$B$4))*(1+Parametri!$B$5)+FerrGriglia!I4+Coefficienti!$B$11*Parametri!$B$6,2)</f>
        <v/>
      </c>
      <c r="J25" s="4">
        <f>ROUND((((Coefficienti!$B$1+Coefficienti!$B$2*J$22+Coefficienti!$B$3*$A25)*Parametri!$B$1+(Coefficienti!$B$4+Coefficienti!$B$5*J$22+Coefficienti!$B$6*$A25)*Parametri!$B$2)*(1-Parametri!$B$3)+((Coefficienti!$B$7+Coefficienti!$B$8*J$22+Coefficienti!$B$9*$A25)+Coefficienti!$B$10)*(1-Parametri!$B$4))*(1+Parametri!$B$5)+FerrGriglia!J4+Coefficienti!$B$11*Parametri!$B$6,2)</f>
        <v/>
      </c>
      <c r="K25" s="4">
        <f>ROUND((((Coefficienti!$B$1+Coefficienti!$B$2*K$22+Coefficienti!$B$3*$A25)*Parametri!$B$1+(Coefficienti!$B$4+Coefficienti!$B$5*K$22+Coefficienti!$B$6*$A25)*Parametri!$B$2)*(1-Parametri!$B$3)+((Coefficienti!$B$7+Coefficienti!$B$8*K$22+Coefficienti!$B$9*$A25)+Coefficienti!$B$10)*(1-Parametri!$B$4))*(1+Parametri!$B$5)+FerrGriglia!K4+Coefficienti!$B$11*Parametri!$B$6,2)</f>
        <v/>
      </c>
      <c r="L25" s="4">
        <f>ROUND((((Coefficienti!$B$1+Coefficienti!$B$2*L$22+Coefficienti!$B$3*$A25)*Parametri!$B$1+(Coefficienti!$B$4+Coefficienti!$B$5*L$22+Coefficienti!$B$6*$A25)*Parametri!$B$2)*(1-Parametri!$B$3)+((Coefficienti!$B$7+Coefficienti!$B$8*L$22+Coefficienti!$B$9*$A25)+Coefficienti!$B$10)*(1-Parametri!$B$4))*(1+Parametri!$B$5)+FerrGriglia!L4+Coefficienti!$B$11*Parametri!$B$6,2)</f>
        <v/>
      </c>
      <c r="M25" s="4">
        <f>ROUND((((Coefficienti!$B$1+Coefficienti!$B$2*M$22+Coefficienti!$B$3*$A25)*Parametri!$B$1+(Coefficienti!$B$4+Coefficienti!$B$5*M$22+Coefficienti!$B$6*$A25)*Parametri!$B$2)*(1-Parametri!$B$3)+((Coefficienti!$B$7+Coefficienti!$B$8*M$22+Coefficienti!$B$9*$A25)+Coefficienti!$B$10)*(1-Parametri!$B$4))*(1+Parametri!$B$5)+FerrGriglia!M4+Coefficienti!$B$11*Parametri!$B$6,2)</f>
        <v/>
      </c>
      <c r="N25" s="4">
        <f>ROUND((((Coefficienti!$B$1+Coefficienti!$B$2*N$22+Coefficienti!$B$3*$A25)*Parametri!$B$1+(Coefficienti!$B$4+Coefficienti!$B$5*N$22+Coefficienti!$B$6*$A25)*Parametri!$B$2)*(1-Parametri!$B$3)+((Coefficienti!$B$7+Coefficienti!$B$8*N$22+Coefficienti!$B$9*$A25)+Coefficienti!$B$10)*(1-Parametri!$B$4))*(1+Parametri!$B$5)+FerrGriglia!N4+Coefficienti!$B$11*Parametri!$B$6,2)</f>
        <v/>
      </c>
    </row>
    <row r="26">
      <c r="A26" s="2" t="n">
        <v>800</v>
      </c>
      <c r="B26" s="4">
        <f>ROUND((((Coefficienti!$B$1+Coefficienti!$B$2*B$22+Coefficienti!$B$3*$A26)*Parametri!$B$1+(Coefficienti!$B$4+Coefficienti!$B$5*B$22+Coefficienti!$B$6*$A26)*Parametri!$B$2)*(1-Parametri!$B$3)+((Coefficienti!$B$7+Coefficienti!$B$8*B$22+Coefficienti!$B$9*$A26)+Coefficienti!$B$10)*(1-Parametri!$B$4))*(1+Parametri!$B$5)+FerrGriglia!B5+Coefficienti!$B$11*Parametri!$B$6,2)</f>
        <v/>
      </c>
      <c r="C26" s="4">
        <f>ROUND((((Coefficienti!$B$1+Coefficienti!$B$2*C$22+Coefficienti!$B$3*$A26)*Parametri!$B$1+(Coefficienti!$B$4+Coefficienti!$B$5*C$22+Coefficienti!$B$6*$A26)*Parametri!$B$2)*(1-Parametri!$B$3)+((Coefficienti!$B$7+Coefficienti!$B$8*C$22+Coefficienti!$B$9*$A26)+Coefficienti!$B$10)*(1-Parametri!$B$4))*(1+Parametri!$B$5)+FerrGriglia!C5+Coefficienti!$B$11*Parametri!$B$6,2)</f>
        <v/>
      </c>
      <c r="D26" s="4">
        <f>ROUND((((Coefficienti!$B$1+Coefficienti!$B$2*D$22+Coefficienti!$B$3*$A26)*Parametri!$B$1+(Coefficienti!$B$4+Coefficienti!$B$5*D$22+Coefficienti!$B$6*$A26)*Parametri!$B$2)*(1-Parametri!$B$3)+((Coefficienti!$B$7+Coefficienti!$B$8*D$22+Coefficienti!$B$9*$A26)+Coefficienti!$B$10)*(1-Parametri!$B$4))*(1+Parametri!$B$5)+FerrGriglia!D5+Coefficienti!$B$11*Parametri!$B$6,2)</f>
        <v/>
      </c>
      <c r="E26" s="4">
        <f>ROUND((((Coefficienti!$B$1+Coefficienti!$B$2*E$22+Coefficienti!$B$3*$A26)*Parametri!$B$1+(Coefficienti!$B$4+Coefficienti!$B$5*E$22+Coefficienti!$B$6*$A26)*Parametri!$B$2)*(1-Parametri!$B$3)+((Coefficienti!$B$7+Coefficienti!$B$8*E$22+Coefficienti!$B$9*$A26)+Coefficienti!$B$10)*(1-Parametri!$B$4))*(1+Parametri!$B$5)+FerrGriglia!E5+Coefficienti!$B$11*Parametri!$B$6,2)</f>
        <v/>
      </c>
      <c r="F26" s="4">
        <f>ROUND((((Coefficienti!$B$1+Coefficienti!$B$2*F$22+Coefficienti!$B$3*$A26)*Parametri!$B$1+(Coefficienti!$B$4+Coefficienti!$B$5*F$22+Coefficienti!$B$6*$A26)*Parametri!$B$2)*(1-Parametri!$B$3)+((Coefficienti!$B$7+Coefficienti!$B$8*F$22+Coefficienti!$B$9*$A26)+Coefficienti!$B$10)*(1-Parametri!$B$4))*(1+Parametri!$B$5)+FerrGriglia!F5+Coefficienti!$B$11*Parametri!$B$6,2)</f>
        <v/>
      </c>
      <c r="G26" s="4">
        <f>ROUND((((Coefficienti!$B$1+Coefficienti!$B$2*G$22+Coefficienti!$B$3*$A26)*Parametri!$B$1+(Coefficienti!$B$4+Coefficienti!$B$5*G$22+Coefficienti!$B$6*$A26)*Parametri!$B$2)*(1-Parametri!$B$3)+((Coefficienti!$B$7+Coefficienti!$B$8*G$22+Coefficienti!$B$9*$A26)+Coefficienti!$B$10)*(1-Parametri!$B$4))*(1+Parametri!$B$5)+FerrGriglia!G5+Coefficienti!$B$11*Parametri!$B$6,2)</f>
        <v/>
      </c>
      <c r="H26" s="4">
        <f>ROUND((((Coefficienti!$B$1+Coefficienti!$B$2*H$22+Coefficienti!$B$3*$A26)*Parametri!$B$1+(Coefficienti!$B$4+Coefficienti!$B$5*H$22+Coefficienti!$B$6*$A26)*Parametri!$B$2)*(1-Parametri!$B$3)+((Coefficienti!$B$7+Coefficienti!$B$8*H$22+Coefficienti!$B$9*$A26)+Coefficienti!$B$10)*(1-Parametri!$B$4))*(1+Parametri!$B$5)+FerrGriglia!H5+Coefficienti!$B$11*Parametri!$B$6,2)</f>
        <v/>
      </c>
      <c r="I26" s="4">
        <f>ROUND((((Coefficienti!$B$1+Coefficienti!$B$2*I$22+Coefficienti!$B$3*$A26)*Parametri!$B$1+(Coefficienti!$B$4+Coefficienti!$B$5*I$22+Coefficienti!$B$6*$A26)*Parametri!$B$2)*(1-Parametri!$B$3)+((Coefficienti!$B$7+Coefficienti!$B$8*I$22+Coefficienti!$B$9*$A26)+Coefficienti!$B$10)*(1-Parametri!$B$4))*(1+Parametri!$B$5)+FerrGriglia!I5+Coefficienti!$B$11*Parametri!$B$6,2)</f>
        <v/>
      </c>
      <c r="J26" s="4">
        <f>ROUND((((Coefficienti!$B$1+Coefficienti!$B$2*J$22+Coefficienti!$B$3*$A26)*Parametri!$B$1+(Coefficienti!$B$4+Coefficienti!$B$5*J$22+Coefficienti!$B$6*$A26)*Parametri!$B$2)*(1-Parametri!$B$3)+((Coefficienti!$B$7+Coefficienti!$B$8*J$22+Coefficienti!$B$9*$A26)+Coefficienti!$B$10)*(1-Parametri!$B$4))*(1+Parametri!$B$5)+FerrGriglia!J5+Coefficienti!$B$11*Parametri!$B$6,2)</f>
        <v/>
      </c>
      <c r="K26" s="4">
        <f>ROUND((((Coefficienti!$B$1+Coefficienti!$B$2*K$22+Coefficienti!$B$3*$A26)*Parametri!$B$1+(Coefficienti!$B$4+Coefficienti!$B$5*K$22+Coefficienti!$B$6*$A26)*Parametri!$B$2)*(1-Parametri!$B$3)+((Coefficienti!$B$7+Coefficienti!$B$8*K$22+Coefficienti!$B$9*$A26)+Coefficienti!$B$10)*(1-Parametri!$B$4))*(1+Parametri!$B$5)+FerrGriglia!K5+Coefficienti!$B$11*Parametri!$B$6,2)</f>
        <v/>
      </c>
      <c r="L26" s="4">
        <f>ROUND((((Coefficienti!$B$1+Coefficienti!$B$2*L$22+Coefficienti!$B$3*$A26)*Parametri!$B$1+(Coefficienti!$B$4+Coefficienti!$B$5*L$22+Coefficienti!$B$6*$A26)*Parametri!$B$2)*(1-Parametri!$B$3)+((Coefficienti!$B$7+Coefficienti!$B$8*L$22+Coefficienti!$B$9*$A26)+Coefficienti!$B$10)*(1-Parametri!$B$4))*(1+Parametri!$B$5)+FerrGriglia!L5+Coefficienti!$B$11*Parametri!$B$6,2)</f>
        <v/>
      </c>
      <c r="M26" s="4">
        <f>ROUND((((Coefficienti!$B$1+Coefficienti!$B$2*M$22+Coefficienti!$B$3*$A26)*Parametri!$B$1+(Coefficienti!$B$4+Coefficienti!$B$5*M$22+Coefficienti!$B$6*$A26)*Parametri!$B$2)*(1-Parametri!$B$3)+((Coefficienti!$B$7+Coefficienti!$B$8*M$22+Coefficienti!$B$9*$A26)+Coefficienti!$B$10)*(1-Parametri!$B$4))*(1+Parametri!$B$5)+FerrGriglia!M5+Coefficienti!$B$11*Parametri!$B$6,2)</f>
        <v/>
      </c>
      <c r="N26" s="4">
        <f>ROUND((((Coefficienti!$B$1+Coefficienti!$B$2*N$22+Coefficienti!$B$3*$A26)*Parametri!$B$1+(Coefficienti!$B$4+Coefficienti!$B$5*N$22+Coefficienti!$B$6*$A26)*Parametri!$B$2)*(1-Parametri!$B$3)+((Coefficienti!$B$7+Coefficienti!$B$8*N$22+Coefficienti!$B$9*$A26)+Coefficienti!$B$10)*(1-Parametri!$B$4))*(1+Parametri!$B$5)+FerrGriglia!N5+Coefficienti!$B$11*Parametri!$B$6,2)</f>
        <v/>
      </c>
    </row>
    <row r="27">
      <c r="A27" s="2" t="n">
        <v>900</v>
      </c>
      <c r="B27" s="4">
        <f>ROUND((((Coefficienti!$B$1+Coefficienti!$B$2*B$22+Coefficienti!$B$3*$A27)*Parametri!$B$1+(Coefficienti!$B$4+Coefficienti!$B$5*B$22+Coefficienti!$B$6*$A27)*Parametri!$B$2)*(1-Parametri!$B$3)+((Coefficienti!$B$7+Coefficienti!$B$8*B$22+Coefficienti!$B$9*$A27)+Coefficienti!$B$10)*(1-Parametri!$B$4))*(1+Parametri!$B$5)+FerrGriglia!B6+Coefficienti!$B$11*Parametri!$B$6,2)</f>
        <v/>
      </c>
      <c r="C27" s="4">
        <f>ROUND((((Coefficienti!$B$1+Coefficienti!$B$2*C$22+Coefficienti!$B$3*$A27)*Parametri!$B$1+(Coefficienti!$B$4+Coefficienti!$B$5*C$22+Coefficienti!$B$6*$A27)*Parametri!$B$2)*(1-Parametri!$B$3)+((Coefficienti!$B$7+Coefficienti!$B$8*C$22+Coefficienti!$B$9*$A27)+Coefficienti!$B$10)*(1-Parametri!$B$4))*(1+Parametri!$B$5)+FerrGriglia!C6+Coefficienti!$B$11*Parametri!$B$6,2)</f>
        <v/>
      </c>
      <c r="D27" s="4">
        <f>ROUND((((Coefficienti!$B$1+Coefficienti!$B$2*D$22+Coefficienti!$B$3*$A27)*Parametri!$B$1+(Coefficienti!$B$4+Coefficienti!$B$5*D$22+Coefficienti!$B$6*$A27)*Parametri!$B$2)*(1-Parametri!$B$3)+((Coefficienti!$B$7+Coefficienti!$B$8*D$22+Coefficienti!$B$9*$A27)+Coefficienti!$B$10)*(1-Parametri!$B$4))*(1+Parametri!$B$5)+FerrGriglia!D6+Coefficienti!$B$11*Parametri!$B$6,2)</f>
        <v/>
      </c>
      <c r="E27" s="4">
        <f>ROUND((((Coefficienti!$B$1+Coefficienti!$B$2*E$22+Coefficienti!$B$3*$A27)*Parametri!$B$1+(Coefficienti!$B$4+Coefficienti!$B$5*E$22+Coefficienti!$B$6*$A27)*Parametri!$B$2)*(1-Parametri!$B$3)+((Coefficienti!$B$7+Coefficienti!$B$8*E$22+Coefficienti!$B$9*$A27)+Coefficienti!$B$10)*(1-Parametri!$B$4))*(1+Parametri!$B$5)+FerrGriglia!E6+Coefficienti!$B$11*Parametri!$B$6,2)</f>
        <v/>
      </c>
      <c r="F27" s="4">
        <f>ROUND((((Coefficienti!$B$1+Coefficienti!$B$2*F$22+Coefficienti!$B$3*$A27)*Parametri!$B$1+(Coefficienti!$B$4+Coefficienti!$B$5*F$22+Coefficienti!$B$6*$A27)*Parametri!$B$2)*(1-Parametri!$B$3)+((Coefficienti!$B$7+Coefficienti!$B$8*F$22+Coefficienti!$B$9*$A27)+Coefficienti!$B$10)*(1-Parametri!$B$4))*(1+Parametri!$B$5)+FerrGriglia!F6+Coefficienti!$B$11*Parametri!$B$6,2)</f>
        <v/>
      </c>
      <c r="G27" s="4">
        <f>ROUND((((Coefficienti!$B$1+Coefficienti!$B$2*G$22+Coefficienti!$B$3*$A27)*Parametri!$B$1+(Coefficienti!$B$4+Coefficienti!$B$5*G$22+Coefficienti!$B$6*$A27)*Parametri!$B$2)*(1-Parametri!$B$3)+((Coefficienti!$B$7+Coefficienti!$B$8*G$22+Coefficienti!$B$9*$A27)+Coefficienti!$B$10)*(1-Parametri!$B$4))*(1+Parametri!$B$5)+FerrGriglia!G6+Coefficienti!$B$11*Parametri!$B$6,2)</f>
        <v/>
      </c>
      <c r="H27" s="4">
        <f>ROUND((((Coefficienti!$B$1+Coefficienti!$B$2*H$22+Coefficienti!$B$3*$A27)*Parametri!$B$1+(Coefficienti!$B$4+Coefficienti!$B$5*H$22+Coefficienti!$B$6*$A27)*Parametri!$B$2)*(1-Parametri!$B$3)+((Coefficienti!$B$7+Coefficienti!$B$8*H$22+Coefficienti!$B$9*$A27)+Coefficienti!$B$10)*(1-Parametri!$B$4))*(1+Parametri!$B$5)+FerrGriglia!H6+Coefficienti!$B$11*Parametri!$B$6,2)</f>
        <v/>
      </c>
      <c r="I27" s="4">
        <f>ROUND((((Coefficienti!$B$1+Coefficienti!$B$2*I$22+Coefficienti!$B$3*$A27)*Parametri!$B$1+(Coefficienti!$B$4+Coefficienti!$B$5*I$22+Coefficienti!$B$6*$A27)*Parametri!$B$2)*(1-Parametri!$B$3)+((Coefficienti!$B$7+Coefficienti!$B$8*I$22+Coefficienti!$B$9*$A27)+Coefficienti!$B$10)*(1-Parametri!$B$4))*(1+Parametri!$B$5)+FerrGriglia!I6+Coefficienti!$B$11*Parametri!$B$6,2)</f>
        <v/>
      </c>
      <c r="J27" s="4">
        <f>ROUND((((Coefficienti!$B$1+Coefficienti!$B$2*J$22+Coefficienti!$B$3*$A27)*Parametri!$B$1+(Coefficienti!$B$4+Coefficienti!$B$5*J$22+Coefficienti!$B$6*$A27)*Parametri!$B$2)*(1-Parametri!$B$3)+((Coefficienti!$B$7+Coefficienti!$B$8*J$22+Coefficienti!$B$9*$A27)+Coefficienti!$B$10)*(1-Parametri!$B$4))*(1+Parametri!$B$5)+FerrGriglia!J6+Coefficienti!$B$11*Parametri!$B$6,2)</f>
        <v/>
      </c>
      <c r="K27" s="4">
        <f>ROUND((((Coefficienti!$B$1+Coefficienti!$B$2*K$22+Coefficienti!$B$3*$A27)*Parametri!$B$1+(Coefficienti!$B$4+Coefficienti!$B$5*K$22+Coefficienti!$B$6*$A27)*Parametri!$B$2)*(1-Parametri!$B$3)+((Coefficienti!$B$7+Coefficienti!$B$8*K$22+Coefficienti!$B$9*$A27)+Coefficienti!$B$10)*(1-Parametri!$B$4))*(1+Parametri!$B$5)+FerrGriglia!K6+Coefficienti!$B$11*Parametri!$B$6,2)</f>
        <v/>
      </c>
      <c r="L27" s="4">
        <f>ROUND((((Coefficienti!$B$1+Coefficienti!$B$2*L$22+Coefficienti!$B$3*$A27)*Parametri!$B$1+(Coefficienti!$B$4+Coefficienti!$B$5*L$22+Coefficienti!$B$6*$A27)*Parametri!$B$2)*(1-Parametri!$B$3)+((Coefficienti!$B$7+Coefficienti!$B$8*L$22+Coefficienti!$B$9*$A27)+Coefficienti!$B$10)*(1-Parametri!$B$4))*(1+Parametri!$B$5)+FerrGriglia!L6+Coefficienti!$B$11*Parametri!$B$6,2)</f>
        <v/>
      </c>
      <c r="M27" s="4">
        <f>ROUND((((Coefficienti!$B$1+Coefficienti!$B$2*M$22+Coefficienti!$B$3*$A27)*Parametri!$B$1+(Coefficienti!$B$4+Coefficienti!$B$5*M$22+Coefficienti!$B$6*$A27)*Parametri!$B$2)*(1-Parametri!$B$3)+((Coefficienti!$B$7+Coefficienti!$B$8*M$22+Coefficienti!$B$9*$A27)+Coefficienti!$B$10)*(1-Parametri!$B$4))*(1+Parametri!$B$5)+FerrGriglia!M6+Coefficienti!$B$11*Parametri!$B$6,2)</f>
        <v/>
      </c>
      <c r="N27" s="4">
        <f>ROUND((((Coefficienti!$B$1+Coefficienti!$B$2*N$22+Coefficienti!$B$3*$A27)*Parametri!$B$1+(Coefficienti!$B$4+Coefficienti!$B$5*N$22+Coefficienti!$B$6*$A27)*Parametri!$B$2)*(1-Parametri!$B$3)+((Coefficienti!$B$7+Coefficienti!$B$8*N$22+Coefficienti!$B$9*$A27)+Coefficienti!$B$10)*(1-Parametri!$B$4))*(1+Parametri!$B$5)+FerrGriglia!N6+Coefficienti!$B$11*Parametri!$B$6,2)</f>
        <v/>
      </c>
    </row>
    <row r="28">
      <c r="A28" s="2" t="n">
        <v>1000</v>
      </c>
      <c r="B28" s="4">
        <f>ROUND((((Coefficienti!$B$1+Coefficienti!$B$2*B$22+Coefficienti!$B$3*$A28)*Parametri!$B$1+(Coefficienti!$B$4+Coefficienti!$B$5*B$22+Coefficienti!$B$6*$A28)*Parametri!$B$2)*(1-Parametri!$B$3)+((Coefficienti!$B$7+Coefficienti!$B$8*B$22+Coefficienti!$B$9*$A28)+Coefficienti!$B$10)*(1-Parametri!$B$4))*(1+Parametri!$B$5)+FerrGriglia!B7+Coefficienti!$B$11*Parametri!$B$6,2)</f>
        <v/>
      </c>
      <c r="C28" s="4">
        <f>ROUND((((Coefficienti!$B$1+Coefficienti!$B$2*C$22+Coefficienti!$B$3*$A28)*Parametri!$B$1+(Coefficienti!$B$4+Coefficienti!$B$5*C$22+Coefficienti!$B$6*$A28)*Parametri!$B$2)*(1-Parametri!$B$3)+((Coefficienti!$B$7+Coefficienti!$B$8*C$22+Coefficienti!$B$9*$A28)+Coefficienti!$B$10)*(1-Parametri!$B$4))*(1+Parametri!$B$5)+FerrGriglia!C7+Coefficienti!$B$11*Parametri!$B$6,2)</f>
        <v/>
      </c>
      <c r="D28" s="4">
        <f>ROUND((((Coefficienti!$B$1+Coefficienti!$B$2*D$22+Coefficienti!$B$3*$A28)*Parametri!$B$1+(Coefficienti!$B$4+Coefficienti!$B$5*D$22+Coefficienti!$B$6*$A28)*Parametri!$B$2)*(1-Parametri!$B$3)+((Coefficienti!$B$7+Coefficienti!$B$8*D$22+Coefficienti!$B$9*$A28)+Coefficienti!$B$10)*(1-Parametri!$B$4))*(1+Parametri!$B$5)+FerrGriglia!D7+Coefficienti!$B$11*Parametri!$B$6,2)</f>
        <v/>
      </c>
      <c r="E28" s="4">
        <f>ROUND((((Coefficienti!$B$1+Coefficienti!$B$2*E$22+Coefficienti!$B$3*$A28)*Parametri!$B$1+(Coefficienti!$B$4+Coefficienti!$B$5*E$22+Coefficienti!$B$6*$A28)*Parametri!$B$2)*(1-Parametri!$B$3)+((Coefficienti!$B$7+Coefficienti!$B$8*E$22+Coefficienti!$B$9*$A28)+Coefficienti!$B$10)*(1-Parametri!$B$4))*(1+Parametri!$B$5)+FerrGriglia!E7+Coefficienti!$B$11*Parametri!$B$6,2)</f>
        <v/>
      </c>
      <c r="F28" s="4">
        <f>ROUND((((Coefficienti!$B$1+Coefficienti!$B$2*F$22+Coefficienti!$B$3*$A28)*Parametri!$B$1+(Coefficienti!$B$4+Coefficienti!$B$5*F$22+Coefficienti!$B$6*$A28)*Parametri!$B$2)*(1-Parametri!$B$3)+((Coefficienti!$B$7+Coefficienti!$B$8*F$22+Coefficienti!$B$9*$A28)+Coefficienti!$B$10)*(1-Parametri!$B$4))*(1+Parametri!$B$5)+FerrGriglia!F7+Coefficienti!$B$11*Parametri!$B$6,2)</f>
        <v/>
      </c>
      <c r="G28" s="4">
        <f>ROUND((((Coefficienti!$B$1+Coefficienti!$B$2*G$22+Coefficienti!$B$3*$A28)*Parametri!$B$1+(Coefficienti!$B$4+Coefficienti!$B$5*G$22+Coefficienti!$B$6*$A28)*Parametri!$B$2)*(1-Parametri!$B$3)+((Coefficienti!$B$7+Coefficienti!$B$8*G$22+Coefficienti!$B$9*$A28)+Coefficienti!$B$10)*(1-Parametri!$B$4))*(1+Parametri!$B$5)+FerrGriglia!G7+Coefficienti!$B$11*Parametri!$B$6,2)</f>
        <v/>
      </c>
      <c r="H28" s="4">
        <f>ROUND((((Coefficienti!$B$1+Coefficienti!$B$2*H$22+Coefficienti!$B$3*$A28)*Parametri!$B$1+(Coefficienti!$B$4+Coefficienti!$B$5*H$22+Coefficienti!$B$6*$A28)*Parametri!$B$2)*(1-Parametri!$B$3)+((Coefficienti!$B$7+Coefficienti!$B$8*H$22+Coefficienti!$B$9*$A28)+Coefficienti!$B$10)*(1-Parametri!$B$4))*(1+Parametri!$B$5)+FerrGriglia!H7+Coefficienti!$B$11*Parametri!$B$6,2)</f>
        <v/>
      </c>
      <c r="I28" s="4">
        <f>ROUND((((Coefficienti!$B$1+Coefficienti!$B$2*I$22+Coefficienti!$B$3*$A28)*Parametri!$B$1+(Coefficienti!$B$4+Coefficienti!$B$5*I$22+Coefficienti!$B$6*$A28)*Parametri!$B$2)*(1-Parametri!$B$3)+((Coefficienti!$B$7+Coefficienti!$B$8*I$22+Coefficienti!$B$9*$A28)+Coefficienti!$B$10)*(1-Parametri!$B$4))*(1+Parametri!$B$5)+FerrGriglia!I7+Coefficienti!$B$11*Parametri!$B$6,2)</f>
        <v/>
      </c>
      <c r="J28" s="4">
        <f>ROUND((((Coefficienti!$B$1+Coefficienti!$B$2*J$22+Coefficienti!$B$3*$A28)*Parametri!$B$1+(Coefficienti!$B$4+Coefficienti!$B$5*J$22+Coefficienti!$B$6*$A28)*Parametri!$B$2)*(1-Parametri!$B$3)+((Coefficienti!$B$7+Coefficienti!$B$8*J$22+Coefficienti!$B$9*$A28)+Coefficienti!$B$10)*(1-Parametri!$B$4))*(1+Parametri!$B$5)+FerrGriglia!J7+Coefficienti!$B$11*Parametri!$B$6,2)</f>
        <v/>
      </c>
      <c r="K28" s="4">
        <f>ROUND((((Coefficienti!$B$1+Coefficienti!$B$2*K$22+Coefficienti!$B$3*$A28)*Parametri!$B$1+(Coefficienti!$B$4+Coefficienti!$B$5*K$22+Coefficienti!$B$6*$A28)*Parametri!$B$2)*(1-Parametri!$B$3)+((Coefficienti!$B$7+Coefficienti!$B$8*K$22+Coefficienti!$B$9*$A28)+Coefficienti!$B$10)*(1-Parametri!$B$4))*(1+Parametri!$B$5)+FerrGriglia!K7+Coefficienti!$B$11*Parametri!$B$6,2)</f>
        <v/>
      </c>
      <c r="L28" s="4">
        <f>ROUND((((Coefficienti!$B$1+Coefficienti!$B$2*L$22+Coefficienti!$B$3*$A28)*Parametri!$B$1+(Coefficienti!$B$4+Coefficienti!$B$5*L$22+Coefficienti!$B$6*$A28)*Parametri!$B$2)*(1-Parametri!$B$3)+((Coefficienti!$B$7+Coefficienti!$B$8*L$22+Coefficienti!$B$9*$A28)+Coefficienti!$B$10)*(1-Parametri!$B$4))*(1+Parametri!$B$5)+FerrGriglia!L7+Coefficienti!$B$11*Parametri!$B$6,2)</f>
        <v/>
      </c>
      <c r="M28" s="4">
        <f>ROUND((((Coefficienti!$B$1+Coefficienti!$B$2*M$22+Coefficienti!$B$3*$A28)*Parametri!$B$1+(Coefficienti!$B$4+Coefficienti!$B$5*M$22+Coefficienti!$B$6*$A28)*Parametri!$B$2)*(1-Parametri!$B$3)+((Coefficienti!$B$7+Coefficienti!$B$8*M$22+Coefficienti!$B$9*$A28)+Coefficienti!$B$10)*(1-Parametri!$B$4))*(1+Parametri!$B$5)+FerrGriglia!M7+Coefficienti!$B$11*Parametri!$B$6,2)</f>
        <v/>
      </c>
      <c r="N28" s="4">
        <f>ROUND((((Coefficienti!$B$1+Coefficienti!$B$2*N$22+Coefficienti!$B$3*$A28)*Parametri!$B$1+(Coefficienti!$B$4+Coefficienti!$B$5*N$22+Coefficienti!$B$6*$A28)*Parametri!$B$2)*(1-Parametri!$B$3)+((Coefficienti!$B$7+Coefficienti!$B$8*N$22+Coefficienti!$B$9*$A28)+Coefficienti!$B$10)*(1-Parametri!$B$4))*(1+Parametri!$B$5)+FerrGriglia!N7+Coefficienti!$B$11*Parametri!$B$6,2)</f>
        <v/>
      </c>
    </row>
    <row r="29">
      <c r="A29" s="2" t="n">
        <v>1100</v>
      </c>
      <c r="B29" s="4">
        <f>ROUND((((Coefficienti!$B$1+Coefficienti!$B$2*B$22+Coefficienti!$B$3*$A29)*Parametri!$B$1+(Coefficienti!$B$4+Coefficienti!$B$5*B$22+Coefficienti!$B$6*$A29)*Parametri!$B$2)*(1-Parametri!$B$3)+((Coefficienti!$B$7+Coefficienti!$B$8*B$22+Coefficienti!$B$9*$A29)+Coefficienti!$B$10)*(1-Parametri!$B$4))*(1+Parametri!$B$5)+FerrGriglia!B8+Coefficienti!$B$11*Parametri!$B$6,2)</f>
        <v/>
      </c>
      <c r="C29" s="4">
        <f>ROUND((((Coefficienti!$B$1+Coefficienti!$B$2*C$22+Coefficienti!$B$3*$A29)*Parametri!$B$1+(Coefficienti!$B$4+Coefficienti!$B$5*C$22+Coefficienti!$B$6*$A29)*Parametri!$B$2)*(1-Parametri!$B$3)+((Coefficienti!$B$7+Coefficienti!$B$8*C$22+Coefficienti!$B$9*$A29)+Coefficienti!$B$10)*(1-Parametri!$B$4))*(1+Parametri!$B$5)+FerrGriglia!C8+Coefficienti!$B$11*Parametri!$B$6,2)</f>
        <v/>
      </c>
      <c r="D29" s="4">
        <f>ROUND((((Coefficienti!$B$1+Coefficienti!$B$2*D$22+Coefficienti!$B$3*$A29)*Parametri!$B$1+(Coefficienti!$B$4+Coefficienti!$B$5*D$22+Coefficienti!$B$6*$A29)*Parametri!$B$2)*(1-Parametri!$B$3)+((Coefficienti!$B$7+Coefficienti!$B$8*D$22+Coefficienti!$B$9*$A29)+Coefficienti!$B$10)*(1-Parametri!$B$4))*(1+Parametri!$B$5)+FerrGriglia!D8+Coefficienti!$B$11*Parametri!$B$6,2)</f>
        <v/>
      </c>
      <c r="E29" s="4">
        <f>ROUND((((Coefficienti!$B$1+Coefficienti!$B$2*E$22+Coefficienti!$B$3*$A29)*Parametri!$B$1+(Coefficienti!$B$4+Coefficienti!$B$5*E$22+Coefficienti!$B$6*$A29)*Parametri!$B$2)*(1-Parametri!$B$3)+((Coefficienti!$B$7+Coefficienti!$B$8*E$22+Coefficienti!$B$9*$A29)+Coefficienti!$B$10)*(1-Parametri!$B$4))*(1+Parametri!$B$5)+FerrGriglia!E8+Coefficienti!$B$11*Parametri!$B$6,2)</f>
        <v/>
      </c>
      <c r="F29" s="4">
        <f>ROUND((((Coefficienti!$B$1+Coefficienti!$B$2*F$22+Coefficienti!$B$3*$A29)*Parametri!$B$1+(Coefficienti!$B$4+Coefficienti!$B$5*F$22+Coefficienti!$B$6*$A29)*Parametri!$B$2)*(1-Parametri!$B$3)+((Coefficienti!$B$7+Coefficienti!$B$8*F$22+Coefficienti!$B$9*$A29)+Coefficienti!$B$10)*(1-Parametri!$B$4))*(1+Parametri!$B$5)+FerrGriglia!F8+Coefficienti!$B$11*Parametri!$B$6,2)</f>
        <v/>
      </c>
      <c r="G29" s="4">
        <f>ROUND((((Coefficienti!$B$1+Coefficienti!$B$2*G$22+Coefficienti!$B$3*$A29)*Parametri!$B$1+(Coefficienti!$B$4+Coefficienti!$B$5*G$22+Coefficienti!$B$6*$A29)*Parametri!$B$2)*(1-Parametri!$B$3)+((Coefficienti!$B$7+Coefficienti!$B$8*G$22+Coefficienti!$B$9*$A29)+Coefficienti!$B$10)*(1-Parametri!$B$4))*(1+Parametri!$B$5)+FerrGriglia!G8+Coefficienti!$B$11*Parametri!$B$6,2)</f>
        <v/>
      </c>
      <c r="H29" s="4">
        <f>ROUND((((Coefficienti!$B$1+Coefficienti!$B$2*H$22+Coefficienti!$B$3*$A29)*Parametri!$B$1+(Coefficienti!$B$4+Coefficienti!$B$5*H$22+Coefficienti!$B$6*$A29)*Parametri!$B$2)*(1-Parametri!$B$3)+((Coefficienti!$B$7+Coefficienti!$B$8*H$22+Coefficienti!$B$9*$A29)+Coefficienti!$B$10)*(1-Parametri!$B$4))*(1+Parametri!$B$5)+FerrGriglia!H8+Coefficienti!$B$11*Parametri!$B$6,2)</f>
        <v/>
      </c>
      <c r="I29" s="4">
        <f>ROUND((((Coefficienti!$B$1+Coefficienti!$B$2*I$22+Coefficienti!$B$3*$A29)*Parametri!$B$1+(Coefficienti!$B$4+Coefficienti!$B$5*I$22+Coefficienti!$B$6*$A29)*Parametri!$B$2)*(1-Parametri!$B$3)+((Coefficienti!$B$7+Coefficienti!$B$8*I$22+Coefficienti!$B$9*$A29)+Coefficienti!$B$10)*(1-Parametri!$B$4))*(1+Parametri!$B$5)+FerrGriglia!I8+Coefficienti!$B$11*Parametri!$B$6,2)</f>
        <v/>
      </c>
      <c r="J29" s="4">
        <f>ROUND((((Coefficienti!$B$1+Coefficienti!$B$2*J$22+Coefficienti!$B$3*$A29)*Parametri!$B$1+(Coefficienti!$B$4+Coefficienti!$B$5*J$22+Coefficienti!$B$6*$A29)*Parametri!$B$2)*(1-Parametri!$B$3)+((Coefficienti!$B$7+Coefficienti!$B$8*J$22+Coefficienti!$B$9*$A29)+Coefficienti!$B$10)*(1-Parametri!$B$4))*(1+Parametri!$B$5)+FerrGriglia!J8+Coefficienti!$B$11*Parametri!$B$6,2)</f>
        <v/>
      </c>
      <c r="K29" s="4">
        <f>ROUND((((Coefficienti!$B$1+Coefficienti!$B$2*K$22+Coefficienti!$B$3*$A29)*Parametri!$B$1+(Coefficienti!$B$4+Coefficienti!$B$5*K$22+Coefficienti!$B$6*$A29)*Parametri!$B$2)*(1-Parametri!$B$3)+((Coefficienti!$B$7+Coefficienti!$B$8*K$22+Coefficienti!$B$9*$A29)+Coefficienti!$B$10)*(1-Parametri!$B$4))*(1+Parametri!$B$5)+FerrGriglia!K8+Coefficienti!$B$11*Parametri!$B$6,2)</f>
        <v/>
      </c>
      <c r="L29" s="4">
        <f>ROUND((((Coefficienti!$B$1+Coefficienti!$B$2*L$22+Coefficienti!$B$3*$A29)*Parametri!$B$1+(Coefficienti!$B$4+Coefficienti!$B$5*L$22+Coefficienti!$B$6*$A29)*Parametri!$B$2)*(1-Parametri!$B$3)+((Coefficienti!$B$7+Coefficienti!$B$8*L$22+Coefficienti!$B$9*$A29)+Coefficienti!$B$10)*(1-Parametri!$B$4))*(1+Parametri!$B$5)+FerrGriglia!L8+Coefficienti!$B$11*Parametri!$B$6,2)</f>
        <v/>
      </c>
      <c r="M29" s="4">
        <f>ROUND((((Coefficienti!$B$1+Coefficienti!$B$2*M$22+Coefficienti!$B$3*$A29)*Parametri!$B$1+(Coefficienti!$B$4+Coefficienti!$B$5*M$22+Coefficienti!$B$6*$A29)*Parametri!$B$2)*(1-Parametri!$B$3)+((Coefficienti!$B$7+Coefficienti!$B$8*M$22+Coefficienti!$B$9*$A29)+Coefficienti!$B$10)*(1-Parametri!$B$4))*(1+Parametri!$B$5)+FerrGriglia!M8+Coefficienti!$B$11*Parametri!$B$6,2)</f>
        <v/>
      </c>
      <c r="N29" s="4">
        <f>ROUND((((Coefficienti!$B$1+Coefficienti!$B$2*N$22+Coefficienti!$B$3*$A29)*Parametri!$B$1+(Coefficienti!$B$4+Coefficienti!$B$5*N$22+Coefficienti!$B$6*$A29)*Parametri!$B$2)*(1-Parametri!$B$3)+((Coefficienti!$B$7+Coefficienti!$B$8*N$22+Coefficienti!$B$9*$A29)+Coefficienti!$B$10)*(1-Parametri!$B$4))*(1+Parametri!$B$5)+FerrGriglia!N8+Coefficienti!$B$11*Parametri!$B$6,2)</f>
        <v/>
      </c>
    </row>
    <row r="30">
      <c r="A30" s="2" t="n">
        <v>1200</v>
      </c>
      <c r="B30" s="4">
        <f>ROUND((((Coefficienti!$B$1+Coefficienti!$B$2*B$22+Coefficienti!$B$3*$A30)*Parametri!$B$1+(Coefficienti!$B$4+Coefficienti!$B$5*B$22+Coefficienti!$B$6*$A30)*Parametri!$B$2)*(1-Parametri!$B$3)+((Coefficienti!$B$7+Coefficienti!$B$8*B$22+Coefficienti!$B$9*$A30)+Coefficienti!$B$10)*(1-Parametri!$B$4))*(1+Parametri!$B$5)+FerrGriglia!B9+Coefficienti!$B$11*Parametri!$B$6,2)</f>
        <v/>
      </c>
      <c r="C30" s="4">
        <f>ROUND((((Coefficienti!$B$1+Coefficienti!$B$2*C$22+Coefficienti!$B$3*$A30)*Parametri!$B$1+(Coefficienti!$B$4+Coefficienti!$B$5*C$22+Coefficienti!$B$6*$A30)*Parametri!$B$2)*(1-Parametri!$B$3)+((Coefficienti!$B$7+Coefficienti!$B$8*C$22+Coefficienti!$B$9*$A30)+Coefficienti!$B$10)*(1-Parametri!$B$4))*(1+Parametri!$B$5)+FerrGriglia!C9+Coefficienti!$B$11*Parametri!$B$6,2)</f>
        <v/>
      </c>
      <c r="D30" s="4">
        <f>ROUND((((Coefficienti!$B$1+Coefficienti!$B$2*D$22+Coefficienti!$B$3*$A30)*Parametri!$B$1+(Coefficienti!$B$4+Coefficienti!$B$5*D$22+Coefficienti!$B$6*$A30)*Parametri!$B$2)*(1-Parametri!$B$3)+((Coefficienti!$B$7+Coefficienti!$B$8*D$22+Coefficienti!$B$9*$A30)+Coefficienti!$B$10)*(1-Parametri!$B$4))*(1+Parametri!$B$5)+FerrGriglia!D9+Coefficienti!$B$11*Parametri!$B$6,2)</f>
        <v/>
      </c>
      <c r="E30" s="4">
        <f>ROUND((((Coefficienti!$B$1+Coefficienti!$B$2*E$22+Coefficienti!$B$3*$A30)*Parametri!$B$1+(Coefficienti!$B$4+Coefficienti!$B$5*E$22+Coefficienti!$B$6*$A30)*Parametri!$B$2)*(1-Parametri!$B$3)+((Coefficienti!$B$7+Coefficienti!$B$8*E$22+Coefficienti!$B$9*$A30)+Coefficienti!$B$10)*(1-Parametri!$B$4))*(1+Parametri!$B$5)+FerrGriglia!E9+Coefficienti!$B$11*Parametri!$B$6,2)</f>
        <v/>
      </c>
      <c r="F30" s="4">
        <f>ROUND((((Coefficienti!$B$1+Coefficienti!$B$2*F$22+Coefficienti!$B$3*$A30)*Parametri!$B$1+(Coefficienti!$B$4+Coefficienti!$B$5*F$22+Coefficienti!$B$6*$A30)*Parametri!$B$2)*(1-Parametri!$B$3)+((Coefficienti!$B$7+Coefficienti!$B$8*F$22+Coefficienti!$B$9*$A30)+Coefficienti!$B$10)*(1-Parametri!$B$4))*(1+Parametri!$B$5)+FerrGriglia!F9+Coefficienti!$B$11*Parametri!$B$6,2)</f>
        <v/>
      </c>
      <c r="G30" s="4">
        <f>ROUND((((Coefficienti!$B$1+Coefficienti!$B$2*G$22+Coefficienti!$B$3*$A30)*Parametri!$B$1+(Coefficienti!$B$4+Coefficienti!$B$5*G$22+Coefficienti!$B$6*$A30)*Parametri!$B$2)*(1-Parametri!$B$3)+((Coefficienti!$B$7+Coefficienti!$B$8*G$22+Coefficienti!$B$9*$A30)+Coefficienti!$B$10)*(1-Parametri!$B$4))*(1+Parametri!$B$5)+FerrGriglia!G9+Coefficienti!$B$11*Parametri!$B$6,2)</f>
        <v/>
      </c>
      <c r="H30" s="4">
        <f>ROUND((((Coefficienti!$B$1+Coefficienti!$B$2*H$22+Coefficienti!$B$3*$A30)*Parametri!$B$1+(Coefficienti!$B$4+Coefficienti!$B$5*H$22+Coefficienti!$B$6*$A30)*Parametri!$B$2)*(1-Parametri!$B$3)+((Coefficienti!$B$7+Coefficienti!$B$8*H$22+Coefficienti!$B$9*$A30)+Coefficienti!$B$10)*(1-Parametri!$B$4))*(1+Parametri!$B$5)+FerrGriglia!H9+Coefficienti!$B$11*Parametri!$B$6,2)</f>
        <v/>
      </c>
      <c r="I30" s="4">
        <f>ROUND((((Coefficienti!$B$1+Coefficienti!$B$2*I$22+Coefficienti!$B$3*$A30)*Parametri!$B$1+(Coefficienti!$B$4+Coefficienti!$B$5*I$22+Coefficienti!$B$6*$A30)*Parametri!$B$2)*(1-Parametri!$B$3)+((Coefficienti!$B$7+Coefficienti!$B$8*I$22+Coefficienti!$B$9*$A30)+Coefficienti!$B$10)*(1-Parametri!$B$4))*(1+Parametri!$B$5)+FerrGriglia!I9+Coefficienti!$B$11*Parametri!$B$6,2)</f>
        <v/>
      </c>
      <c r="J30" s="4">
        <f>ROUND((((Coefficienti!$B$1+Coefficienti!$B$2*J$22+Coefficienti!$B$3*$A30)*Parametri!$B$1+(Coefficienti!$B$4+Coefficienti!$B$5*J$22+Coefficienti!$B$6*$A30)*Parametri!$B$2)*(1-Parametri!$B$3)+((Coefficienti!$B$7+Coefficienti!$B$8*J$22+Coefficienti!$B$9*$A30)+Coefficienti!$B$10)*(1-Parametri!$B$4))*(1+Parametri!$B$5)+FerrGriglia!J9+Coefficienti!$B$11*Parametri!$B$6,2)</f>
        <v/>
      </c>
      <c r="K30" s="4">
        <f>ROUND((((Coefficienti!$B$1+Coefficienti!$B$2*K$22+Coefficienti!$B$3*$A30)*Parametri!$B$1+(Coefficienti!$B$4+Coefficienti!$B$5*K$22+Coefficienti!$B$6*$A30)*Parametri!$B$2)*(1-Parametri!$B$3)+((Coefficienti!$B$7+Coefficienti!$B$8*K$22+Coefficienti!$B$9*$A30)+Coefficienti!$B$10)*(1-Parametri!$B$4))*(1+Parametri!$B$5)+FerrGriglia!K9+Coefficienti!$B$11*Parametri!$B$6,2)</f>
        <v/>
      </c>
      <c r="L30" s="4">
        <f>ROUND((((Coefficienti!$B$1+Coefficienti!$B$2*L$22+Coefficienti!$B$3*$A30)*Parametri!$B$1+(Coefficienti!$B$4+Coefficienti!$B$5*L$22+Coefficienti!$B$6*$A30)*Parametri!$B$2)*(1-Parametri!$B$3)+((Coefficienti!$B$7+Coefficienti!$B$8*L$22+Coefficienti!$B$9*$A30)+Coefficienti!$B$10)*(1-Parametri!$B$4))*(1+Parametri!$B$5)+FerrGriglia!L9+Coefficienti!$B$11*Parametri!$B$6,2)</f>
        <v/>
      </c>
      <c r="M30" s="4">
        <f>ROUND((((Coefficienti!$B$1+Coefficienti!$B$2*M$22+Coefficienti!$B$3*$A30)*Parametri!$B$1+(Coefficienti!$B$4+Coefficienti!$B$5*M$22+Coefficienti!$B$6*$A30)*Parametri!$B$2)*(1-Parametri!$B$3)+((Coefficienti!$B$7+Coefficienti!$B$8*M$22+Coefficienti!$B$9*$A30)+Coefficienti!$B$10)*(1-Parametri!$B$4))*(1+Parametri!$B$5)+FerrGriglia!M9+Coefficienti!$B$11*Parametri!$B$6,2)</f>
        <v/>
      </c>
      <c r="N30" s="4">
        <f>ROUND((((Coefficienti!$B$1+Coefficienti!$B$2*N$22+Coefficienti!$B$3*$A30)*Parametri!$B$1+(Coefficienti!$B$4+Coefficienti!$B$5*N$22+Coefficienti!$B$6*$A30)*Parametri!$B$2)*(1-Parametri!$B$3)+((Coefficienti!$B$7+Coefficienti!$B$8*N$22+Coefficienti!$B$9*$A30)+Coefficienti!$B$10)*(1-Parametri!$B$4))*(1+Parametri!$B$5)+FerrGriglia!N9+Coefficienti!$B$11*Parametri!$B$6,2)</f>
        <v/>
      </c>
    </row>
    <row r="31">
      <c r="A31" s="2" t="n">
        <v>1300</v>
      </c>
      <c r="B31" s="4">
        <f>ROUND((((Coefficienti!$B$1+Coefficienti!$B$2*B$22+Coefficienti!$B$3*$A31)*Parametri!$B$1+(Coefficienti!$B$4+Coefficienti!$B$5*B$22+Coefficienti!$B$6*$A31)*Parametri!$B$2)*(1-Parametri!$B$3)+((Coefficienti!$B$7+Coefficienti!$B$8*B$22+Coefficienti!$B$9*$A31)+Coefficienti!$B$10)*(1-Parametri!$B$4))*(1+Parametri!$B$5)+FerrGriglia!B10+Coefficienti!$B$11*Parametri!$B$6,2)</f>
        <v/>
      </c>
      <c r="C31" s="4">
        <f>ROUND((((Coefficienti!$B$1+Coefficienti!$B$2*C$22+Coefficienti!$B$3*$A31)*Parametri!$B$1+(Coefficienti!$B$4+Coefficienti!$B$5*C$22+Coefficienti!$B$6*$A31)*Parametri!$B$2)*(1-Parametri!$B$3)+((Coefficienti!$B$7+Coefficienti!$B$8*C$22+Coefficienti!$B$9*$A31)+Coefficienti!$B$10)*(1-Parametri!$B$4))*(1+Parametri!$B$5)+FerrGriglia!C10+Coefficienti!$B$11*Parametri!$B$6,2)</f>
        <v/>
      </c>
      <c r="D31" s="4">
        <f>ROUND((((Coefficienti!$B$1+Coefficienti!$B$2*D$22+Coefficienti!$B$3*$A31)*Parametri!$B$1+(Coefficienti!$B$4+Coefficienti!$B$5*D$22+Coefficienti!$B$6*$A31)*Parametri!$B$2)*(1-Parametri!$B$3)+((Coefficienti!$B$7+Coefficienti!$B$8*D$22+Coefficienti!$B$9*$A31)+Coefficienti!$B$10)*(1-Parametri!$B$4))*(1+Parametri!$B$5)+FerrGriglia!D10+Coefficienti!$B$11*Parametri!$B$6,2)</f>
        <v/>
      </c>
      <c r="E31" s="4">
        <f>ROUND((((Coefficienti!$B$1+Coefficienti!$B$2*E$22+Coefficienti!$B$3*$A31)*Parametri!$B$1+(Coefficienti!$B$4+Coefficienti!$B$5*E$22+Coefficienti!$B$6*$A31)*Parametri!$B$2)*(1-Parametri!$B$3)+((Coefficienti!$B$7+Coefficienti!$B$8*E$22+Coefficienti!$B$9*$A31)+Coefficienti!$B$10)*(1-Parametri!$B$4))*(1+Parametri!$B$5)+FerrGriglia!E10+Coefficienti!$B$11*Parametri!$B$6,2)</f>
        <v/>
      </c>
      <c r="F31" s="4">
        <f>ROUND((((Coefficienti!$B$1+Coefficienti!$B$2*F$22+Coefficienti!$B$3*$A31)*Parametri!$B$1+(Coefficienti!$B$4+Coefficienti!$B$5*F$22+Coefficienti!$B$6*$A31)*Parametri!$B$2)*(1-Parametri!$B$3)+((Coefficienti!$B$7+Coefficienti!$B$8*F$22+Coefficienti!$B$9*$A31)+Coefficienti!$B$10)*(1-Parametri!$B$4))*(1+Parametri!$B$5)+FerrGriglia!F10+Coefficienti!$B$11*Parametri!$B$6,2)</f>
        <v/>
      </c>
      <c r="G31" s="4">
        <f>ROUND((((Coefficienti!$B$1+Coefficienti!$B$2*G$22+Coefficienti!$B$3*$A31)*Parametri!$B$1+(Coefficienti!$B$4+Coefficienti!$B$5*G$22+Coefficienti!$B$6*$A31)*Parametri!$B$2)*(1-Parametri!$B$3)+((Coefficienti!$B$7+Coefficienti!$B$8*G$22+Coefficienti!$B$9*$A31)+Coefficienti!$B$10)*(1-Parametri!$B$4))*(1+Parametri!$B$5)+FerrGriglia!G10+Coefficienti!$B$11*Parametri!$B$6,2)</f>
        <v/>
      </c>
      <c r="H31" s="4">
        <f>ROUND((((Coefficienti!$B$1+Coefficienti!$B$2*H$22+Coefficienti!$B$3*$A31)*Parametri!$B$1+(Coefficienti!$B$4+Coefficienti!$B$5*H$22+Coefficienti!$B$6*$A31)*Parametri!$B$2)*(1-Parametri!$B$3)+((Coefficienti!$B$7+Coefficienti!$B$8*H$22+Coefficienti!$B$9*$A31)+Coefficienti!$B$10)*(1-Parametri!$B$4))*(1+Parametri!$B$5)+FerrGriglia!H10+Coefficienti!$B$11*Parametri!$B$6,2)</f>
        <v/>
      </c>
      <c r="I31" s="4">
        <f>ROUND((((Coefficienti!$B$1+Coefficienti!$B$2*I$22+Coefficienti!$B$3*$A31)*Parametri!$B$1+(Coefficienti!$B$4+Coefficienti!$B$5*I$22+Coefficienti!$B$6*$A31)*Parametri!$B$2)*(1-Parametri!$B$3)+((Coefficienti!$B$7+Coefficienti!$B$8*I$22+Coefficienti!$B$9*$A31)+Coefficienti!$B$10)*(1-Parametri!$B$4))*(1+Parametri!$B$5)+FerrGriglia!I10+Coefficienti!$B$11*Parametri!$B$6,2)</f>
        <v/>
      </c>
      <c r="J31" s="4">
        <f>ROUND((((Coefficienti!$B$1+Coefficienti!$B$2*J$22+Coefficienti!$B$3*$A31)*Parametri!$B$1+(Coefficienti!$B$4+Coefficienti!$B$5*J$22+Coefficienti!$B$6*$A31)*Parametri!$B$2)*(1-Parametri!$B$3)+((Coefficienti!$B$7+Coefficienti!$B$8*J$22+Coefficienti!$B$9*$A31)+Coefficienti!$B$10)*(1-Parametri!$B$4))*(1+Parametri!$B$5)+FerrGriglia!J10+Coefficienti!$B$11*Parametri!$B$6,2)</f>
        <v/>
      </c>
      <c r="K31" s="4">
        <f>ROUND((((Coefficienti!$B$1+Coefficienti!$B$2*K$22+Coefficienti!$B$3*$A31)*Parametri!$B$1+(Coefficienti!$B$4+Coefficienti!$B$5*K$22+Coefficienti!$B$6*$A31)*Parametri!$B$2)*(1-Parametri!$B$3)+((Coefficienti!$B$7+Coefficienti!$B$8*K$22+Coefficienti!$B$9*$A31)+Coefficienti!$B$10)*(1-Parametri!$B$4))*(1+Parametri!$B$5)+FerrGriglia!K10+Coefficienti!$B$11*Parametri!$B$6,2)</f>
        <v/>
      </c>
      <c r="L31" s="4">
        <f>ROUND((((Coefficienti!$B$1+Coefficienti!$B$2*L$22+Coefficienti!$B$3*$A31)*Parametri!$B$1+(Coefficienti!$B$4+Coefficienti!$B$5*L$22+Coefficienti!$B$6*$A31)*Parametri!$B$2)*(1-Parametri!$B$3)+((Coefficienti!$B$7+Coefficienti!$B$8*L$22+Coefficienti!$B$9*$A31)+Coefficienti!$B$10)*(1-Parametri!$B$4))*(1+Parametri!$B$5)+FerrGriglia!L10+Coefficienti!$B$11*Parametri!$B$6,2)</f>
        <v/>
      </c>
      <c r="M31" s="4">
        <f>ROUND((((Coefficienti!$B$1+Coefficienti!$B$2*M$22+Coefficienti!$B$3*$A31)*Parametri!$B$1+(Coefficienti!$B$4+Coefficienti!$B$5*M$22+Coefficienti!$B$6*$A31)*Parametri!$B$2)*(1-Parametri!$B$3)+((Coefficienti!$B$7+Coefficienti!$B$8*M$22+Coefficienti!$B$9*$A31)+Coefficienti!$B$10)*(1-Parametri!$B$4))*(1+Parametri!$B$5)+FerrGriglia!M10+Coefficienti!$B$11*Parametri!$B$6,2)</f>
        <v/>
      </c>
      <c r="N31" s="4">
        <f>ROUND((((Coefficienti!$B$1+Coefficienti!$B$2*N$22+Coefficienti!$B$3*$A31)*Parametri!$B$1+(Coefficienti!$B$4+Coefficienti!$B$5*N$22+Coefficienti!$B$6*$A31)*Parametri!$B$2)*(1-Parametri!$B$3)+((Coefficienti!$B$7+Coefficienti!$B$8*N$22+Coefficienti!$B$9*$A31)+Coefficienti!$B$10)*(1-Parametri!$B$4))*(1+Parametri!$B$5)+FerrGriglia!N10+Coefficienti!$B$11*Parametri!$B$6,2)</f>
        <v/>
      </c>
    </row>
    <row r="32">
      <c r="A32" s="2" t="n">
        <v>1400</v>
      </c>
      <c r="B32" s="4">
        <f>ROUND((((Coefficienti!$B$1+Coefficienti!$B$2*B$22+Coefficienti!$B$3*$A32)*Parametri!$B$1+(Coefficienti!$B$4+Coefficienti!$B$5*B$22+Coefficienti!$B$6*$A32)*Parametri!$B$2)*(1-Parametri!$B$3)+((Coefficienti!$B$7+Coefficienti!$B$8*B$22+Coefficienti!$B$9*$A32)+Coefficienti!$B$10)*(1-Parametri!$B$4))*(1+Parametri!$B$5)+FerrGriglia!B11+Coefficienti!$B$11*Parametri!$B$6,2)</f>
        <v/>
      </c>
      <c r="C32" s="4">
        <f>ROUND((((Coefficienti!$B$1+Coefficienti!$B$2*C$22+Coefficienti!$B$3*$A32)*Parametri!$B$1+(Coefficienti!$B$4+Coefficienti!$B$5*C$22+Coefficienti!$B$6*$A32)*Parametri!$B$2)*(1-Parametri!$B$3)+((Coefficienti!$B$7+Coefficienti!$B$8*C$22+Coefficienti!$B$9*$A32)+Coefficienti!$B$10)*(1-Parametri!$B$4))*(1+Parametri!$B$5)+FerrGriglia!C11+Coefficienti!$B$11*Parametri!$B$6,2)</f>
        <v/>
      </c>
      <c r="D32" s="4">
        <f>ROUND((((Coefficienti!$B$1+Coefficienti!$B$2*D$22+Coefficienti!$B$3*$A32)*Parametri!$B$1+(Coefficienti!$B$4+Coefficienti!$B$5*D$22+Coefficienti!$B$6*$A32)*Parametri!$B$2)*(1-Parametri!$B$3)+((Coefficienti!$B$7+Coefficienti!$B$8*D$22+Coefficienti!$B$9*$A32)+Coefficienti!$B$10)*(1-Parametri!$B$4))*(1+Parametri!$B$5)+FerrGriglia!D11+Coefficienti!$B$11*Parametri!$B$6,2)</f>
        <v/>
      </c>
      <c r="E32" s="4">
        <f>ROUND((((Coefficienti!$B$1+Coefficienti!$B$2*E$22+Coefficienti!$B$3*$A32)*Parametri!$B$1+(Coefficienti!$B$4+Coefficienti!$B$5*E$22+Coefficienti!$B$6*$A32)*Parametri!$B$2)*(1-Parametri!$B$3)+((Coefficienti!$B$7+Coefficienti!$B$8*E$22+Coefficienti!$B$9*$A32)+Coefficienti!$B$10)*(1-Parametri!$B$4))*(1+Parametri!$B$5)+FerrGriglia!E11+Coefficienti!$B$11*Parametri!$B$6,2)</f>
        <v/>
      </c>
      <c r="F32" s="4">
        <f>ROUND((((Coefficienti!$B$1+Coefficienti!$B$2*F$22+Coefficienti!$B$3*$A32)*Parametri!$B$1+(Coefficienti!$B$4+Coefficienti!$B$5*F$22+Coefficienti!$B$6*$A32)*Parametri!$B$2)*(1-Parametri!$B$3)+((Coefficienti!$B$7+Coefficienti!$B$8*F$22+Coefficienti!$B$9*$A32)+Coefficienti!$B$10)*(1-Parametri!$B$4))*(1+Parametri!$B$5)+FerrGriglia!F11+Coefficienti!$B$11*Parametri!$B$6,2)</f>
        <v/>
      </c>
      <c r="G32" s="4">
        <f>ROUND((((Coefficienti!$B$1+Coefficienti!$B$2*G$22+Coefficienti!$B$3*$A32)*Parametri!$B$1+(Coefficienti!$B$4+Coefficienti!$B$5*G$22+Coefficienti!$B$6*$A32)*Parametri!$B$2)*(1-Parametri!$B$3)+((Coefficienti!$B$7+Coefficienti!$B$8*G$22+Coefficienti!$B$9*$A32)+Coefficienti!$B$10)*(1-Parametri!$B$4))*(1+Parametri!$B$5)+FerrGriglia!G11+Coefficienti!$B$11*Parametri!$B$6,2)</f>
        <v/>
      </c>
      <c r="H32" s="4">
        <f>ROUND((((Coefficienti!$B$1+Coefficienti!$B$2*H$22+Coefficienti!$B$3*$A32)*Parametri!$B$1+(Coefficienti!$B$4+Coefficienti!$B$5*H$22+Coefficienti!$B$6*$A32)*Parametri!$B$2)*(1-Parametri!$B$3)+((Coefficienti!$B$7+Coefficienti!$B$8*H$22+Coefficienti!$B$9*$A32)+Coefficienti!$B$10)*(1-Parametri!$B$4))*(1+Parametri!$B$5)+FerrGriglia!H11+Coefficienti!$B$11*Parametri!$B$6,2)</f>
        <v/>
      </c>
      <c r="I32" s="4">
        <f>ROUND((((Coefficienti!$B$1+Coefficienti!$B$2*I$22+Coefficienti!$B$3*$A32)*Parametri!$B$1+(Coefficienti!$B$4+Coefficienti!$B$5*I$22+Coefficienti!$B$6*$A32)*Parametri!$B$2)*(1-Parametri!$B$3)+((Coefficienti!$B$7+Coefficienti!$B$8*I$22+Coefficienti!$B$9*$A32)+Coefficienti!$B$10)*(1-Parametri!$B$4))*(1+Parametri!$B$5)+FerrGriglia!I11+Coefficienti!$B$11*Parametri!$B$6,2)</f>
        <v/>
      </c>
      <c r="J32" s="4">
        <f>ROUND((((Coefficienti!$B$1+Coefficienti!$B$2*J$22+Coefficienti!$B$3*$A32)*Parametri!$B$1+(Coefficienti!$B$4+Coefficienti!$B$5*J$22+Coefficienti!$B$6*$A32)*Parametri!$B$2)*(1-Parametri!$B$3)+((Coefficienti!$B$7+Coefficienti!$B$8*J$22+Coefficienti!$B$9*$A32)+Coefficienti!$B$10)*(1-Parametri!$B$4))*(1+Parametri!$B$5)+FerrGriglia!J11+Coefficienti!$B$11*Parametri!$B$6,2)</f>
        <v/>
      </c>
      <c r="K32" s="4">
        <f>ROUND((((Coefficienti!$B$1+Coefficienti!$B$2*K$22+Coefficienti!$B$3*$A32)*Parametri!$B$1+(Coefficienti!$B$4+Coefficienti!$B$5*K$22+Coefficienti!$B$6*$A32)*Parametri!$B$2)*(1-Parametri!$B$3)+((Coefficienti!$B$7+Coefficienti!$B$8*K$22+Coefficienti!$B$9*$A32)+Coefficienti!$B$10)*(1-Parametri!$B$4))*(1+Parametri!$B$5)+FerrGriglia!K11+Coefficienti!$B$11*Parametri!$B$6,2)</f>
        <v/>
      </c>
      <c r="L32" s="4">
        <f>ROUND((((Coefficienti!$B$1+Coefficienti!$B$2*L$22+Coefficienti!$B$3*$A32)*Parametri!$B$1+(Coefficienti!$B$4+Coefficienti!$B$5*L$22+Coefficienti!$B$6*$A32)*Parametri!$B$2)*(1-Parametri!$B$3)+((Coefficienti!$B$7+Coefficienti!$B$8*L$22+Coefficienti!$B$9*$A32)+Coefficienti!$B$10)*(1-Parametri!$B$4))*(1+Parametri!$B$5)+FerrGriglia!L11+Coefficienti!$B$11*Parametri!$B$6,2)</f>
        <v/>
      </c>
      <c r="M32" s="4">
        <f>ROUND((((Coefficienti!$B$1+Coefficienti!$B$2*M$22+Coefficienti!$B$3*$A32)*Parametri!$B$1+(Coefficienti!$B$4+Coefficienti!$B$5*M$22+Coefficienti!$B$6*$A32)*Parametri!$B$2)*(1-Parametri!$B$3)+((Coefficienti!$B$7+Coefficienti!$B$8*M$22+Coefficienti!$B$9*$A32)+Coefficienti!$B$10)*(1-Parametri!$B$4))*(1+Parametri!$B$5)+FerrGriglia!M11+Coefficienti!$B$11*Parametri!$B$6,2)</f>
        <v/>
      </c>
      <c r="N32" s="4">
        <f>ROUND((((Coefficienti!$B$1+Coefficienti!$B$2*N$22+Coefficienti!$B$3*$A32)*Parametri!$B$1+(Coefficienti!$B$4+Coefficienti!$B$5*N$22+Coefficienti!$B$6*$A32)*Parametri!$B$2)*(1-Parametri!$B$3)+((Coefficienti!$B$7+Coefficienti!$B$8*N$22+Coefficienti!$B$9*$A32)+Coefficienti!$B$10)*(1-Parametri!$B$4))*(1+Parametri!$B$5)+FerrGriglia!N11+Coefficienti!$B$11*Parametri!$B$6,2)</f>
        <v/>
      </c>
    </row>
    <row r="33">
      <c r="A33" s="2" t="n">
        <v>1500</v>
      </c>
      <c r="B33" s="4">
        <f>ROUND((((Coefficienti!$B$1+Coefficienti!$B$2*B$22+Coefficienti!$B$3*$A33)*Parametri!$B$1+(Coefficienti!$B$4+Coefficienti!$B$5*B$22+Coefficienti!$B$6*$A33)*Parametri!$B$2)*(1-Parametri!$B$3)+((Coefficienti!$B$7+Coefficienti!$B$8*B$22+Coefficienti!$B$9*$A33)+Coefficienti!$B$10)*(1-Parametri!$B$4))*(1+Parametri!$B$5)+FerrGriglia!B12+Coefficienti!$B$11*Parametri!$B$6,2)</f>
        <v/>
      </c>
      <c r="C33" s="4">
        <f>ROUND((((Coefficienti!$B$1+Coefficienti!$B$2*C$22+Coefficienti!$B$3*$A33)*Parametri!$B$1+(Coefficienti!$B$4+Coefficienti!$B$5*C$22+Coefficienti!$B$6*$A33)*Parametri!$B$2)*(1-Parametri!$B$3)+((Coefficienti!$B$7+Coefficienti!$B$8*C$22+Coefficienti!$B$9*$A33)+Coefficienti!$B$10)*(1-Parametri!$B$4))*(1+Parametri!$B$5)+FerrGriglia!C12+Coefficienti!$B$11*Parametri!$B$6,2)</f>
        <v/>
      </c>
      <c r="D33" s="4">
        <f>ROUND((((Coefficienti!$B$1+Coefficienti!$B$2*D$22+Coefficienti!$B$3*$A33)*Parametri!$B$1+(Coefficienti!$B$4+Coefficienti!$B$5*D$22+Coefficienti!$B$6*$A33)*Parametri!$B$2)*(1-Parametri!$B$3)+((Coefficienti!$B$7+Coefficienti!$B$8*D$22+Coefficienti!$B$9*$A33)+Coefficienti!$B$10)*(1-Parametri!$B$4))*(1+Parametri!$B$5)+FerrGriglia!D12+Coefficienti!$B$11*Parametri!$B$6,2)</f>
        <v/>
      </c>
      <c r="E33" s="4">
        <f>ROUND((((Coefficienti!$B$1+Coefficienti!$B$2*E$22+Coefficienti!$B$3*$A33)*Parametri!$B$1+(Coefficienti!$B$4+Coefficienti!$B$5*E$22+Coefficienti!$B$6*$A33)*Parametri!$B$2)*(1-Parametri!$B$3)+((Coefficienti!$B$7+Coefficienti!$B$8*E$22+Coefficienti!$B$9*$A33)+Coefficienti!$B$10)*(1-Parametri!$B$4))*(1+Parametri!$B$5)+FerrGriglia!E12+Coefficienti!$B$11*Parametri!$B$6,2)</f>
        <v/>
      </c>
      <c r="F33" s="4">
        <f>ROUND((((Coefficienti!$B$1+Coefficienti!$B$2*F$22+Coefficienti!$B$3*$A33)*Parametri!$B$1+(Coefficienti!$B$4+Coefficienti!$B$5*F$22+Coefficienti!$B$6*$A33)*Parametri!$B$2)*(1-Parametri!$B$3)+((Coefficienti!$B$7+Coefficienti!$B$8*F$22+Coefficienti!$B$9*$A33)+Coefficienti!$B$10)*(1-Parametri!$B$4))*(1+Parametri!$B$5)+FerrGriglia!F12+Coefficienti!$B$11*Parametri!$B$6,2)</f>
        <v/>
      </c>
      <c r="G33" s="4">
        <f>ROUND((((Coefficienti!$B$1+Coefficienti!$B$2*G$22+Coefficienti!$B$3*$A33)*Parametri!$B$1+(Coefficienti!$B$4+Coefficienti!$B$5*G$22+Coefficienti!$B$6*$A33)*Parametri!$B$2)*(1-Parametri!$B$3)+((Coefficienti!$B$7+Coefficienti!$B$8*G$22+Coefficienti!$B$9*$A33)+Coefficienti!$B$10)*(1-Parametri!$B$4))*(1+Parametri!$B$5)+FerrGriglia!G12+Coefficienti!$B$11*Parametri!$B$6,2)</f>
        <v/>
      </c>
      <c r="H33" s="4">
        <f>ROUND((((Coefficienti!$B$1+Coefficienti!$B$2*H$22+Coefficienti!$B$3*$A33)*Parametri!$B$1+(Coefficienti!$B$4+Coefficienti!$B$5*H$22+Coefficienti!$B$6*$A33)*Parametri!$B$2)*(1-Parametri!$B$3)+((Coefficienti!$B$7+Coefficienti!$B$8*H$22+Coefficienti!$B$9*$A33)+Coefficienti!$B$10)*(1-Parametri!$B$4))*(1+Parametri!$B$5)+FerrGriglia!H12+Coefficienti!$B$11*Parametri!$B$6,2)</f>
        <v/>
      </c>
      <c r="I33" s="4">
        <f>ROUND((((Coefficienti!$B$1+Coefficienti!$B$2*I$22+Coefficienti!$B$3*$A33)*Parametri!$B$1+(Coefficienti!$B$4+Coefficienti!$B$5*I$22+Coefficienti!$B$6*$A33)*Parametri!$B$2)*(1-Parametri!$B$3)+((Coefficienti!$B$7+Coefficienti!$B$8*I$22+Coefficienti!$B$9*$A33)+Coefficienti!$B$10)*(1-Parametri!$B$4))*(1+Parametri!$B$5)+FerrGriglia!I12+Coefficienti!$B$11*Parametri!$B$6,2)</f>
        <v/>
      </c>
      <c r="J33" s="4">
        <f>ROUND((((Coefficienti!$B$1+Coefficienti!$B$2*J$22+Coefficienti!$B$3*$A33)*Parametri!$B$1+(Coefficienti!$B$4+Coefficienti!$B$5*J$22+Coefficienti!$B$6*$A33)*Parametri!$B$2)*(1-Parametri!$B$3)+((Coefficienti!$B$7+Coefficienti!$B$8*J$22+Coefficienti!$B$9*$A33)+Coefficienti!$B$10)*(1-Parametri!$B$4))*(1+Parametri!$B$5)+FerrGriglia!J12+Coefficienti!$B$11*Parametri!$B$6,2)</f>
        <v/>
      </c>
      <c r="K33" s="4">
        <f>ROUND((((Coefficienti!$B$1+Coefficienti!$B$2*K$22+Coefficienti!$B$3*$A33)*Parametri!$B$1+(Coefficienti!$B$4+Coefficienti!$B$5*K$22+Coefficienti!$B$6*$A33)*Parametri!$B$2)*(1-Parametri!$B$3)+((Coefficienti!$B$7+Coefficienti!$B$8*K$22+Coefficienti!$B$9*$A33)+Coefficienti!$B$10)*(1-Parametri!$B$4))*(1+Parametri!$B$5)+FerrGriglia!K12+Coefficienti!$B$11*Parametri!$B$6,2)</f>
        <v/>
      </c>
      <c r="L33" s="4">
        <f>ROUND((((Coefficienti!$B$1+Coefficienti!$B$2*L$22+Coefficienti!$B$3*$A33)*Parametri!$B$1+(Coefficienti!$B$4+Coefficienti!$B$5*L$22+Coefficienti!$B$6*$A33)*Parametri!$B$2)*(1-Parametri!$B$3)+((Coefficienti!$B$7+Coefficienti!$B$8*L$22+Coefficienti!$B$9*$A33)+Coefficienti!$B$10)*(1-Parametri!$B$4))*(1+Parametri!$B$5)+FerrGriglia!L12+Coefficienti!$B$11*Parametri!$B$6,2)</f>
        <v/>
      </c>
      <c r="M33" s="4">
        <f>ROUND((((Coefficienti!$B$1+Coefficienti!$B$2*M$22+Coefficienti!$B$3*$A33)*Parametri!$B$1+(Coefficienti!$B$4+Coefficienti!$B$5*M$22+Coefficienti!$B$6*$A33)*Parametri!$B$2)*(1-Parametri!$B$3)+((Coefficienti!$B$7+Coefficienti!$B$8*M$22+Coefficienti!$B$9*$A33)+Coefficienti!$B$10)*(1-Parametri!$B$4))*(1+Parametri!$B$5)+FerrGriglia!M12+Coefficienti!$B$11*Parametri!$B$6,2)</f>
        <v/>
      </c>
      <c r="N33" s="4">
        <f>ROUND((((Coefficienti!$B$1+Coefficienti!$B$2*N$22+Coefficienti!$B$3*$A33)*Parametri!$B$1+(Coefficienti!$B$4+Coefficienti!$B$5*N$22+Coefficienti!$B$6*$A33)*Parametri!$B$2)*(1-Parametri!$B$3)+((Coefficienti!$B$7+Coefficienti!$B$8*N$22+Coefficienti!$B$9*$A33)+Coefficienti!$B$10)*(1-Parametri!$B$4))*(1+Parametri!$B$5)+FerrGriglia!N12+Coefficienti!$B$11*Parametri!$B$6,2)</f>
        <v/>
      </c>
    </row>
    <row r="34">
      <c r="A34" s="2" t="n">
        <v>1600</v>
      </c>
      <c r="B34" s="4">
        <f>ROUND((((Coefficienti!$B$1+Coefficienti!$B$2*B$22+Coefficienti!$B$3*$A34)*Parametri!$B$1+(Coefficienti!$B$4+Coefficienti!$B$5*B$22+Coefficienti!$B$6*$A34)*Parametri!$B$2)*(1-Parametri!$B$3)+((Coefficienti!$B$7+Coefficienti!$B$8*B$22+Coefficienti!$B$9*$A34)+Coefficienti!$B$10)*(1-Parametri!$B$4))*(1+Parametri!$B$5)+FerrGriglia!B13+Coefficienti!$B$11*Parametri!$B$6,2)</f>
        <v/>
      </c>
      <c r="C34" s="4">
        <f>ROUND((((Coefficienti!$B$1+Coefficienti!$B$2*C$22+Coefficienti!$B$3*$A34)*Parametri!$B$1+(Coefficienti!$B$4+Coefficienti!$B$5*C$22+Coefficienti!$B$6*$A34)*Parametri!$B$2)*(1-Parametri!$B$3)+((Coefficienti!$B$7+Coefficienti!$B$8*C$22+Coefficienti!$B$9*$A34)+Coefficienti!$B$10)*(1-Parametri!$B$4))*(1+Parametri!$B$5)+FerrGriglia!C13+Coefficienti!$B$11*Parametri!$B$6,2)</f>
        <v/>
      </c>
      <c r="D34" s="4">
        <f>ROUND((((Coefficienti!$B$1+Coefficienti!$B$2*D$22+Coefficienti!$B$3*$A34)*Parametri!$B$1+(Coefficienti!$B$4+Coefficienti!$B$5*D$22+Coefficienti!$B$6*$A34)*Parametri!$B$2)*(1-Parametri!$B$3)+((Coefficienti!$B$7+Coefficienti!$B$8*D$22+Coefficienti!$B$9*$A34)+Coefficienti!$B$10)*(1-Parametri!$B$4))*(1+Parametri!$B$5)+FerrGriglia!D13+Coefficienti!$B$11*Parametri!$B$6,2)</f>
        <v/>
      </c>
      <c r="E34" s="4">
        <f>ROUND((((Coefficienti!$B$1+Coefficienti!$B$2*E$22+Coefficienti!$B$3*$A34)*Parametri!$B$1+(Coefficienti!$B$4+Coefficienti!$B$5*E$22+Coefficienti!$B$6*$A34)*Parametri!$B$2)*(1-Parametri!$B$3)+((Coefficienti!$B$7+Coefficienti!$B$8*E$22+Coefficienti!$B$9*$A34)+Coefficienti!$B$10)*(1-Parametri!$B$4))*(1+Parametri!$B$5)+FerrGriglia!E13+Coefficienti!$B$11*Parametri!$B$6,2)</f>
        <v/>
      </c>
      <c r="F34" s="4">
        <f>ROUND((((Coefficienti!$B$1+Coefficienti!$B$2*F$22+Coefficienti!$B$3*$A34)*Parametri!$B$1+(Coefficienti!$B$4+Coefficienti!$B$5*F$22+Coefficienti!$B$6*$A34)*Parametri!$B$2)*(1-Parametri!$B$3)+((Coefficienti!$B$7+Coefficienti!$B$8*F$22+Coefficienti!$B$9*$A34)+Coefficienti!$B$10)*(1-Parametri!$B$4))*(1+Parametri!$B$5)+FerrGriglia!F13+Coefficienti!$B$11*Parametri!$B$6,2)</f>
        <v/>
      </c>
      <c r="G34" s="4">
        <f>ROUND((((Coefficienti!$B$1+Coefficienti!$B$2*G$22+Coefficienti!$B$3*$A34)*Parametri!$B$1+(Coefficienti!$B$4+Coefficienti!$B$5*G$22+Coefficienti!$B$6*$A34)*Parametri!$B$2)*(1-Parametri!$B$3)+((Coefficienti!$B$7+Coefficienti!$B$8*G$22+Coefficienti!$B$9*$A34)+Coefficienti!$B$10)*(1-Parametri!$B$4))*(1+Parametri!$B$5)+FerrGriglia!G13+Coefficienti!$B$11*Parametri!$B$6,2)</f>
        <v/>
      </c>
      <c r="H34" s="4">
        <f>ROUND((((Coefficienti!$B$1+Coefficienti!$B$2*H$22+Coefficienti!$B$3*$A34)*Parametri!$B$1+(Coefficienti!$B$4+Coefficienti!$B$5*H$22+Coefficienti!$B$6*$A34)*Parametri!$B$2)*(1-Parametri!$B$3)+((Coefficienti!$B$7+Coefficienti!$B$8*H$22+Coefficienti!$B$9*$A34)+Coefficienti!$B$10)*(1-Parametri!$B$4))*(1+Parametri!$B$5)+FerrGriglia!H13+Coefficienti!$B$11*Parametri!$B$6,2)</f>
        <v/>
      </c>
      <c r="I34" s="4">
        <f>ROUND((((Coefficienti!$B$1+Coefficienti!$B$2*I$22+Coefficienti!$B$3*$A34)*Parametri!$B$1+(Coefficienti!$B$4+Coefficienti!$B$5*I$22+Coefficienti!$B$6*$A34)*Parametri!$B$2)*(1-Parametri!$B$3)+((Coefficienti!$B$7+Coefficienti!$B$8*I$22+Coefficienti!$B$9*$A34)+Coefficienti!$B$10)*(1-Parametri!$B$4))*(1+Parametri!$B$5)+FerrGriglia!I13+Coefficienti!$B$11*Parametri!$B$6,2)</f>
        <v/>
      </c>
      <c r="J34" s="4">
        <f>ROUND((((Coefficienti!$B$1+Coefficienti!$B$2*J$22+Coefficienti!$B$3*$A34)*Parametri!$B$1+(Coefficienti!$B$4+Coefficienti!$B$5*J$22+Coefficienti!$B$6*$A34)*Parametri!$B$2)*(1-Parametri!$B$3)+((Coefficienti!$B$7+Coefficienti!$B$8*J$22+Coefficienti!$B$9*$A34)+Coefficienti!$B$10)*(1-Parametri!$B$4))*(1+Parametri!$B$5)+FerrGriglia!J13+Coefficienti!$B$11*Parametri!$B$6,2)</f>
        <v/>
      </c>
      <c r="K34" s="4">
        <f>ROUND((((Coefficienti!$B$1+Coefficienti!$B$2*K$22+Coefficienti!$B$3*$A34)*Parametri!$B$1+(Coefficienti!$B$4+Coefficienti!$B$5*K$22+Coefficienti!$B$6*$A34)*Parametri!$B$2)*(1-Parametri!$B$3)+((Coefficienti!$B$7+Coefficienti!$B$8*K$22+Coefficienti!$B$9*$A34)+Coefficienti!$B$10)*(1-Parametri!$B$4))*(1+Parametri!$B$5)+FerrGriglia!K13+Coefficienti!$B$11*Parametri!$B$6,2)</f>
        <v/>
      </c>
      <c r="L34" s="4">
        <f>ROUND((((Coefficienti!$B$1+Coefficienti!$B$2*L$22+Coefficienti!$B$3*$A34)*Parametri!$B$1+(Coefficienti!$B$4+Coefficienti!$B$5*L$22+Coefficienti!$B$6*$A34)*Parametri!$B$2)*(1-Parametri!$B$3)+((Coefficienti!$B$7+Coefficienti!$B$8*L$22+Coefficienti!$B$9*$A34)+Coefficienti!$B$10)*(1-Parametri!$B$4))*(1+Parametri!$B$5)+FerrGriglia!L13+Coefficienti!$B$11*Parametri!$B$6,2)</f>
        <v/>
      </c>
      <c r="M34" s="4">
        <f>ROUND((((Coefficienti!$B$1+Coefficienti!$B$2*M$22+Coefficienti!$B$3*$A34)*Parametri!$B$1+(Coefficienti!$B$4+Coefficienti!$B$5*M$22+Coefficienti!$B$6*$A34)*Parametri!$B$2)*(1-Parametri!$B$3)+((Coefficienti!$B$7+Coefficienti!$B$8*M$22+Coefficienti!$B$9*$A34)+Coefficienti!$B$10)*(1-Parametri!$B$4))*(1+Parametri!$B$5)+FerrGriglia!M13+Coefficienti!$B$11*Parametri!$B$6,2)</f>
        <v/>
      </c>
      <c r="N34" s="4">
        <f>ROUND((((Coefficienti!$B$1+Coefficienti!$B$2*N$22+Coefficienti!$B$3*$A34)*Parametri!$B$1+(Coefficienti!$B$4+Coefficienti!$B$5*N$22+Coefficienti!$B$6*$A34)*Parametri!$B$2)*(1-Parametri!$B$3)+((Coefficienti!$B$7+Coefficienti!$B$8*N$22+Coefficienti!$B$9*$A34)+Coefficienti!$B$10)*(1-Parametri!$B$4))*(1+Parametri!$B$5)+FerrGriglia!N13+Coefficienti!$B$11*Parametri!$B$6,2)</f>
        <v/>
      </c>
    </row>
    <row r="35">
      <c r="A35" s="2" t="n">
        <v>1700</v>
      </c>
      <c r="B35" s="4">
        <f>ROUND((((Coefficienti!$B$1+Coefficienti!$B$2*B$22+Coefficienti!$B$3*$A35)*Parametri!$B$1+(Coefficienti!$B$4+Coefficienti!$B$5*B$22+Coefficienti!$B$6*$A35)*Parametri!$B$2)*(1-Parametri!$B$3)+((Coefficienti!$B$7+Coefficienti!$B$8*B$22+Coefficienti!$B$9*$A35)+Coefficienti!$B$10)*(1-Parametri!$B$4))*(1+Parametri!$B$5)+FerrGriglia!B14+Coefficienti!$B$11*Parametri!$B$6,2)</f>
        <v/>
      </c>
      <c r="C35" s="4">
        <f>ROUND((((Coefficienti!$B$1+Coefficienti!$B$2*C$22+Coefficienti!$B$3*$A35)*Parametri!$B$1+(Coefficienti!$B$4+Coefficienti!$B$5*C$22+Coefficienti!$B$6*$A35)*Parametri!$B$2)*(1-Parametri!$B$3)+((Coefficienti!$B$7+Coefficienti!$B$8*C$22+Coefficienti!$B$9*$A35)+Coefficienti!$B$10)*(1-Parametri!$B$4))*(1+Parametri!$B$5)+FerrGriglia!C14+Coefficienti!$B$11*Parametri!$B$6,2)</f>
        <v/>
      </c>
      <c r="D35" s="4">
        <f>ROUND((((Coefficienti!$B$1+Coefficienti!$B$2*D$22+Coefficienti!$B$3*$A35)*Parametri!$B$1+(Coefficienti!$B$4+Coefficienti!$B$5*D$22+Coefficienti!$B$6*$A35)*Parametri!$B$2)*(1-Parametri!$B$3)+((Coefficienti!$B$7+Coefficienti!$B$8*D$22+Coefficienti!$B$9*$A35)+Coefficienti!$B$10)*(1-Parametri!$B$4))*(1+Parametri!$B$5)+FerrGriglia!D14+Coefficienti!$B$11*Parametri!$B$6,2)</f>
        <v/>
      </c>
      <c r="E35" s="4">
        <f>ROUND((((Coefficienti!$B$1+Coefficienti!$B$2*E$22+Coefficienti!$B$3*$A35)*Parametri!$B$1+(Coefficienti!$B$4+Coefficienti!$B$5*E$22+Coefficienti!$B$6*$A35)*Parametri!$B$2)*(1-Parametri!$B$3)+((Coefficienti!$B$7+Coefficienti!$B$8*E$22+Coefficienti!$B$9*$A35)+Coefficienti!$B$10)*(1-Parametri!$B$4))*(1+Parametri!$B$5)+FerrGriglia!E14+Coefficienti!$B$11*Parametri!$B$6,2)</f>
        <v/>
      </c>
      <c r="F35" s="4">
        <f>ROUND((((Coefficienti!$B$1+Coefficienti!$B$2*F$22+Coefficienti!$B$3*$A35)*Parametri!$B$1+(Coefficienti!$B$4+Coefficienti!$B$5*F$22+Coefficienti!$B$6*$A35)*Parametri!$B$2)*(1-Parametri!$B$3)+((Coefficienti!$B$7+Coefficienti!$B$8*F$22+Coefficienti!$B$9*$A35)+Coefficienti!$B$10)*(1-Parametri!$B$4))*(1+Parametri!$B$5)+FerrGriglia!F14+Coefficienti!$B$11*Parametri!$B$6,2)</f>
        <v/>
      </c>
      <c r="G35" s="4">
        <f>ROUND((((Coefficienti!$B$1+Coefficienti!$B$2*G$22+Coefficienti!$B$3*$A35)*Parametri!$B$1+(Coefficienti!$B$4+Coefficienti!$B$5*G$22+Coefficienti!$B$6*$A35)*Parametri!$B$2)*(1-Parametri!$B$3)+((Coefficienti!$B$7+Coefficienti!$B$8*G$22+Coefficienti!$B$9*$A35)+Coefficienti!$B$10)*(1-Parametri!$B$4))*(1+Parametri!$B$5)+FerrGriglia!G14+Coefficienti!$B$11*Parametri!$B$6,2)</f>
        <v/>
      </c>
      <c r="H35" s="4">
        <f>ROUND((((Coefficienti!$B$1+Coefficienti!$B$2*H$22+Coefficienti!$B$3*$A35)*Parametri!$B$1+(Coefficienti!$B$4+Coefficienti!$B$5*H$22+Coefficienti!$B$6*$A35)*Parametri!$B$2)*(1-Parametri!$B$3)+((Coefficienti!$B$7+Coefficienti!$B$8*H$22+Coefficienti!$B$9*$A35)+Coefficienti!$B$10)*(1-Parametri!$B$4))*(1+Parametri!$B$5)+FerrGriglia!H14+Coefficienti!$B$11*Parametri!$B$6,2)</f>
        <v/>
      </c>
      <c r="I35" s="4">
        <f>ROUND((((Coefficienti!$B$1+Coefficienti!$B$2*I$22+Coefficienti!$B$3*$A35)*Parametri!$B$1+(Coefficienti!$B$4+Coefficienti!$B$5*I$22+Coefficienti!$B$6*$A35)*Parametri!$B$2)*(1-Parametri!$B$3)+((Coefficienti!$B$7+Coefficienti!$B$8*I$22+Coefficienti!$B$9*$A35)+Coefficienti!$B$10)*(1-Parametri!$B$4))*(1+Parametri!$B$5)+FerrGriglia!I14+Coefficienti!$B$11*Parametri!$B$6,2)</f>
        <v/>
      </c>
      <c r="J35" s="4">
        <f>ROUND((((Coefficienti!$B$1+Coefficienti!$B$2*J$22+Coefficienti!$B$3*$A35)*Parametri!$B$1+(Coefficienti!$B$4+Coefficienti!$B$5*J$22+Coefficienti!$B$6*$A35)*Parametri!$B$2)*(1-Parametri!$B$3)+((Coefficienti!$B$7+Coefficienti!$B$8*J$22+Coefficienti!$B$9*$A35)+Coefficienti!$B$10)*(1-Parametri!$B$4))*(1+Parametri!$B$5)+FerrGriglia!J14+Coefficienti!$B$11*Parametri!$B$6,2)</f>
        <v/>
      </c>
      <c r="K35" s="4">
        <f>ROUND((((Coefficienti!$B$1+Coefficienti!$B$2*K$22+Coefficienti!$B$3*$A35)*Parametri!$B$1+(Coefficienti!$B$4+Coefficienti!$B$5*K$22+Coefficienti!$B$6*$A35)*Parametri!$B$2)*(1-Parametri!$B$3)+((Coefficienti!$B$7+Coefficienti!$B$8*K$22+Coefficienti!$B$9*$A35)+Coefficienti!$B$10)*(1-Parametri!$B$4))*(1+Parametri!$B$5)+FerrGriglia!K14+Coefficienti!$B$11*Parametri!$B$6,2)</f>
        <v/>
      </c>
      <c r="L35" s="4">
        <f>ROUND((((Coefficienti!$B$1+Coefficienti!$B$2*L$22+Coefficienti!$B$3*$A35)*Parametri!$B$1+(Coefficienti!$B$4+Coefficienti!$B$5*L$22+Coefficienti!$B$6*$A35)*Parametri!$B$2)*(1-Parametri!$B$3)+((Coefficienti!$B$7+Coefficienti!$B$8*L$22+Coefficienti!$B$9*$A35)+Coefficienti!$B$10)*(1-Parametri!$B$4))*(1+Parametri!$B$5)+FerrGriglia!L14+Coefficienti!$B$11*Parametri!$B$6,2)</f>
        <v/>
      </c>
      <c r="M35" s="4">
        <f>ROUND((((Coefficienti!$B$1+Coefficienti!$B$2*M$22+Coefficienti!$B$3*$A35)*Parametri!$B$1+(Coefficienti!$B$4+Coefficienti!$B$5*M$22+Coefficienti!$B$6*$A35)*Parametri!$B$2)*(1-Parametri!$B$3)+((Coefficienti!$B$7+Coefficienti!$B$8*M$22+Coefficienti!$B$9*$A35)+Coefficienti!$B$10)*(1-Parametri!$B$4))*(1+Parametri!$B$5)+FerrGriglia!M14+Coefficienti!$B$11*Parametri!$B$6,2)</f>
        <v/>
      </c>
      <c r="N35" s="4">
        <f>ROUND((((Coefficienti!$B$1+Coefficienti!$B$2*N$22+Coefficienti!$B$3*$A35)*Parametri!$B$1+(Coefficienti!$B$4+Coefficienti!$B$5*N$22+Coefficienti!$B$6*$A35)*Parametri!$B$2)*(1-Parametri!$B$3)+((Coefficienti!$B$7+Coefficienti!$B$8*N$22+Coefficienti!$B$9*$A35)+Coefficienti!$B$10)*(1-Parametri!$B$4))*(1+Parametri!$B$5)+FerrGriglia!N14+Coefficienti!$B$11*Parametri!$B$6,2)</f>
        <v/>
      </c>
    </row>
    <row r="36">
      <c r="A36" s="2" t="n">
        <v>1800</v>
      </c>
      <c r="B36" s="4">
        <f>ROUND((((Coefficienti!$B$1+Coefficienti!$B$2*B$22+Coefficienti!$B$3*$A36)*Parametri!$B$1+(Coefficienti!$B$4+Coefficienti!$B$5*B$22+Coefficienti!$B$6*$A36)*Parametri!$B$2)*(1-Parametri!$B$3)+((Coefficienti!$B$7+Coefficienti!$B$8*B$22+Coefficienti!$B$9*$A36)+Coefficienti!$B$10)*(1-Parametri!$B$4))*(1+Parametri!$B$5)+FerrGriglia!B15+Coefficienti!$B$11*Parametri!$B$6,2)</f>
        <v/>
      </c>
      <c r="C36" s="4">
        <f>ROUND((((Coefficienti!$B$1+Coefficienti!$B$2*C$22+Coefficienti!$B$3*$A36)*Parametri!$B$1+(Coefficienti!$B$4+Coefficienti!$B$5*C$22+Coefficienti!$B$6*$A36)*Parametri!$B$2)*(1-Parametri!$B$3)+((Coefficienti!$B$7+Coefficienti!$B$8*C$22+Coefficienti!$B$9*$A36)+Coefficienti!$B$10)*(1-Parametri!$B$4))*(1+Parametri!$B$5)+FerrGriglia!C15+Coefficienti!$B$11*Parametri!$B$6,2)</f>
        <v/>
      </c>
      <c r="D36" s="4">
        <f>ROUND((((Coefficienti!$B$1+Coefficienti!$B$2*D$22+Coefficienti!$B$3*$A36)*Parametri!$B$1+(Coefficienti!$B$4+Coefficienti!$B$5*D$22+Coefficienti!$B$6*$A36)*Parametri!$B$2)*(1-Parametri!$B$3)+((Coefficienti!$B$7+Coefficienti!$B$8*D$22+Coefficienti!$B$9*$A36)+Coefficienti!$B$10)*(1-Parametri!$B$4))*(1+Parametri!$B$5)+FerrGriglia!D15+Coefficienti!$B$11*Parametri!$B$6,2)</f>
        <v/>
      </c>
      <c r="E36" s="4">
        <f>ROUND((((Coefficienti!$B$1+Coefficienti!$B$2*E$22+Coefficienti!$B$3*$A36)*Parametri!$B$1+(Coefficienti!$B$4+Coefficienti!$B$5*E$22+Coefficienti!$B$6*$A36)*Parametri!$B$2)*(1-Parametri!$B$3)+((Coefficienti!$B$7+Coefficienti!$B$8*E$22+Coefficienti!$B$9*$A36)+Coefficienti!$B$10)*(1-Parametri!$B$4))*(1+Parametri!$B$5)+FerrGriglia!E15+Coefficienti!$B$11*Parametri!$B$6,2)</f>
        <v/>
      </c>
      <c r="F36" s="4">
        <f>ROUND((((Coefficienti!$B$1+Coefficienti!$B$2*F$22+Coefficienti!$B$3*$A36)*Parametri!$B$1+(Coefficienti!$B$4+Coefficienti!$B$5*F$22+Coefficienti!$B$6*$A36)*Parametri!$B$2)*(1-Parametri!$B$3)+((Coefficienti!$B$7+Coefficienti!$B$8*F$22+Coefficienti!$B$9*$A36)+Coefficienti!$B$10)*(1-Parametri!$B$4))*(1+Parametri!$B$5)+FerrGriglia!F15+Coefficienti!$B$11*Parametri!$B$6,2)</f>
        <v/>
      </c>
      <c r="G36" s="4">
        <f>ROUND((((Coefficienti!$B$1+Coefficienti!$B$2*G$22+Coefficienti!$B$3*$A36)*Parametri!$B$1+(Coefficienti!$B$4+Coefficienti!$B$5*G$22+Coefficienti!$B$6*$A36)*Parametri!$B$2)*(1-Parametri!$B$3)+((Coefficienti!$B$7+Coefficienti!$B$8*G$22+Coefficienti!$B$9*$A36)+Coefficienti!$B$10)*(1-Parametri!$B$4))*(1+Parametri!$B$5)+FerrGriglia!G15+Coefficienti!$B$11*Parametri!$B$6,2)</f>
        <v/>
      </c>
      <c r="H36" s="4">
        <f>ROUND((((Coefficienti!$B$1+Coefficienti!$B$2*H$22+Coefficienti!$B$3*$A36)*Parametri!$B$1+(Coefficienti!$B$4+Coefficienti!$B$5*H$22+Coefficienti!$B$6*$A36)*Parametri!$B$2)*(1-Parametri!$B$3)+((Coefficienti!$B$7+Coefficienti!$B$8*H$22+Coefficienti!$B$9*$A36)+Coefficienti!$B$10)*(1-Parametri!$B$4))*(1+Parametri!$B$5)+FerrGriglia!H15+Coefficienti!$B$11*Parametri!$B$6,2)</f>
        <v/>
      </c>
      <c r="I36" s="4">
        <f>ROUND((((Coefficienti!$B$1+Coefficienti!$B$2*I$22+Coefficienti!$B$3*$A36)*Parametri!$B$1+(Coefficienti!$B$4+Coefficienti!$B$5*I$22+Coefficienti!$B$6*$A36)*Parametri!$B$2)*(1-Parametri!$B$3)+((Coefficienti!$B$7+Coefficienti!$B$8*I$22+Coefficienti!$B$9*$A36)+Coefficienti!$B$10)*(1-Parametri!$B$4))*(1+Parametri!$B$5)+FerrGriglia!I15+Coefficienti!$B$11*Parametri!$B$6,2)</f>
        <v/>
      </c>
      <c r="J36" s="4">
        <f>ROUND((((Coefficienti!$B$1+Coefficienti!$B$2*J$22+Coefficienti!$B$3*$A36)*Parametri!$B$1+(Coefficienti!$B$4+Coefficienti!$B$5*J$22+Coefficienti!$B$6*$A36)*Parametri!$B$2)*(1-Parametri!$B$3)+((Coefficienti!$B$7+Coefficienti!$B$8*J$22+Coefficienti!$B$9*$A36)+Coefficienti!$B$10)*(1-Parametri!$B$4))*(1+Parametri!$B$5)+FerrGriglia!J15+Coefficienti!$B$11*Parametri!$B$6,2)</f>
        <v/>
      </c>
      <c r="K36" s="4">
        <f>ROUND((((Coefficienti!$B$1+Coefficienti!$B$2*K$22+Coefficienti!$B$3*$A36)*Parametri!$B$1+(Coefficienti!$B$4+Coefficienti!$B$5*K$22+Coefficienti!$B$6*$A36)*Parametri!$B$2)*(1-Parametri!$B$3)+((Coefficienti!$B$7+Coefficienti!$B$8*K$22+Coefficienti!$B$9*$A36)+Coefficienti!$B$10)*(1-Parametri!$B$4))*(1+Parametri!$B$5)+FerrGriglia!K15+Coefficienti!$B$11*Parametri!$B$6,2)</f>
        <v/>
      </c>
      <c r="L36" s="4">
        <f>ROUND((((Coefficienti!$B$1+Coefficienti!$B$2*L$22+Coefficienti!$B$3*$A36)*Parametri!$B$1+(Coefficienti!$B$4+Coefficienti!$B$5*L$22+Coefficienti!$B$6*$A36)*Parametri!$B$2)*(1-Parametri!$B$3)+((Coefficienti!$B$7+Coefficienti!$B$8*L$22+Coefficienti!$B$9*$A36)+Coefficienti!$B$10)*(1-Parametri!$B$4))*(1+Parametri!$B$5)+FerrGriglia!L15+Coefficienti!$B$11*Parametri!$B$6,2)</f>
        <v/>
      </c>
      <c r="M36" s="4">
        <f>ROUND((((Coefficienti!$B$1+Coefficienti!$B$2*M$22+Coefficienti!$B$3*$A36)*Parametri!$B$1+(Coefficienti!$B$4+Coefficienti!$B$5*M$22+Coefficienti!$B$6*$A36)*Parametri!$B$2)*(1-Parametri!$B$3)+((Coefficienti!$B$7+Coefficienti!$B$8*M$22+Coefficienti!$B$9*$A36)+Coefficienti!$B$10)*(1-Parametri!$B$4))*(1+Parametri!$B$5)+FerrGriglia!M15+Coefficienti!$B$11*Parametri!$B$6,2)</f>
        <v/>
      </c>
      <c r="N36" s="4">
        <f>ROUND((((Coefficienti!$B$1+Coefficienti!$B$2*N$22+Coefficienti!$B$3*$A36)*Parametri!$B$1+(Coefficienti!$B$4+Coefficienti!$B$5*N$22+Coefficienti!$B$6*$A36)*Parametri!$B$2)*(1-Parametri!$B$3)+((Coefficienti!$B$7+Coefficienti!$B$8*N$22+Coefficienti!$B$9*$A36)+Coefficienti!$B$10)*(1-Parametri!$B$4))*(1+Parametri!$B$5)+FerrGriglia!N15+Coefficienti!$B$11*Parametri!$B$6,2)</f>
        <v/>
      </c>
    </row>
    <row r="37">
      <c r="A37" s="2" t="n">
        <v>1900</v>
      </c>
      <c r="B37" s="4">
        <f>ROUND((((Coefficienti!$B$1+Coefficienti!$B$2*B$22+Coefficienti!$B$3*$A37)*Parametri!$B$1+(Coefficienti!$B$4+Coefficienti!$B$5*B$22+Coefficienti!$B$6*$A37)*Parametri!$B$2)*(1-Parametri!$B$3)+((Coefficienti!$B$7+Coefficienti!$B$8*B$22+Coefficienti!$B$9*$A37)+Coefficienti!$B$10)*(1-Parametri!$B$4))*(1+Parametri!$B$5)+FerrGriglia!B16+Coefficienti!$B$11*Parametri!$B$6,2)</f>
        <v/>
      </c>
      <c r="C37" s="4">
        <f>ROUND((((Coefficienti!$B$1+Coefficienti!$B$2*C$22+Coefficienti!$B$3*$A37)*Parametri!$B$1+(Coefficienti!$B$4+Coefficienti!$B$5*C$22+Coefficienti!$B$6*$A37)*Parametri!$B$2)*(1-Parametri!$B$3)+((Coefficienti!$B$7+Coefficienti!$B$8*C$22+Coefficienti!$B$9*$A37)+Coefficienti!$B$10)*(1-Parametri!$B$4))*(1+Parametri!$B$5)+FerrGriglia!C16+Coefficienti!$B$11*Parametri!$B$6,2)</f>
        <v/>
      </c>
      <c r="D37" s="4">
        <f>ROUND((((Coefficienti!$B$1+Coefficienti!$B$2*D$22+Coefficienti!$B$3*$A37)*Parametri!$B$1+(Coefficienti!$B$4+Coefficienti!$B$5*D$22+Coefficienti!$B$6*$A37)*Parametri!$B$2)*(1-Parametri!$B$3)+((Coefficienti!$B$7+Coefficienti!$B$8*D$22+Coefficienti!$B$9*$A37)+Coefficienti!$B$10)*(1-Parametri!$B$4))*(1+Parametri!$B$5)+FerrGriglia!D16+Coefficienti!$B$11*Parametri!$B$6,2)</f>
        <v/>
      </c>
      <c r="E37" s="4">
        <f>ROUND((((Coefficienti!$B$1+Coefficienti!$B$2*E$22+Coefficienti!$B$3*$A37)*Parametri!$B$1+(Coefficienti!$B$4+Coefficienti!$B$5*E$22+Coefficienti!$B$6*$A37)*Parametri!$B$2)*(1-Parametri!$B$3)+((Coefficienti!$B$7+Coefficienti!$B$8*E$22+Coefficienti!$B$9*$A37)+Coefficienti!$B$10)*(1-Parametri!$B$4))*(1+Parametri!$B$5)+FerrGriglia!E16+Coefficienti!$B$11*Parametri!$B$6,2)</f>
        <v/>
      </c>
      <c r="F37" s="4">
        <f>ROUND((((Coefficienti!$B$1+Coefficienti!$B$2*F$22+Coefficienti!$B$3*$A37)*Parametri!$B$1+(Coefficienti!$B$4+Coefficienti!$B$5*F$22+Coefficienti!$B$6*$A37)*Parametri!$B$2)*(1-Parametri!$B$3)+((Coefficienti!$B$7+Coefficienti!$B$8*F$22+Coefficienti!$B$9*$A37)+Coefficienti!$B$10)*(1-Parametri!$B$4))*(1+Parametri!$B$5)+FerrGriglia!F16+Coefficienti!$B$11*Parametri!$B$6,2)</f>
        <v/>
      </c>
      <c r="G37" s="4">
        <f>ROUND((((Coefficienti!$B$1+Coefficienti!$B$2*G$22+Coefficienti!$B$3*$A37)*Parametri!$B$1+(Coefficienti!$B$4+Coefficienti!$B$5*G$22+Coefficienti!$B$6*$A37)*Parametri!$B$2)*(1-Parametri!$B$3)+((Coefficienti!$B$7+Coefficienti!$B$8*G$22+Coefficienti!$B$9*$A37)+Coefficienti!$B$10)*(1-Parametri!$B$4))*(1+Parametri!$B$5)+FerrGriglia!G16+Coefficienti!$B$11*Parametri!$B$6,2)</f>
        <v/>
      </c>
      <c r="H37" s="4">
        <f>ROUND((((Coefficienti!$B$1+Coefficienti!$B$2*H$22+Coefficienti!$B$3*$A37)*Parametri!$B$1+(Coefficienti!$B$4+Coefficienti!$B$5*H$22+Coefficienti!$B$6*$A37)*Parametri!$B$2)*(1-Parametri!$B$3)+((Coefficienti!$B$7+Coefficienti!$B$8*H$22+Coefficienti!$B$9*$A37)+Coefficienti!$B$10)*(1-Parametri!$B$4))*(1+Parametri!$B$5)+FerrGriglia!H16+Coefficienti!$B$11*Parametri!$B$6,2)</f>
        <v/>
      </c>
      <c r="I37" s="4">
        <f>ROUND((((Coefficienti!$B$1+Coefficienti!$B$2*I$22+Coefficienti!$B$3*$A37)*Parametri!$B$1+(Coefficienti!$B$4+Coefficienti!$B$5*I$22+Coefficienti!$B$6*$A37)*Parametri!$B$2)*(1-Parametri!$B$3)+((Coefficienti!$B$7+Coefficienti!$B$8*I$22+Coefficienti!$B$9*$A37)+Coefficienti!$B$10)*(1-Parametri!$B$4))*(1+Parametri!$B$5)+FerrGriglia!I16+Coefficienti!$B$11*Parametri!$B$6,2)</f>
        <v/>
      </c>
      <c r="J37" s="4">
        <f>ROUND((((Coefficienti!$B$1+Coefficienti!$B$2*J$22+Coefficienti!$B$3*$A37)*Parametri!$B$1+(Coefficienti!$B$4+Coefficienti!$B$5*J$22+Coefficienti!$B$6*$A37)*Parametri!$B$2)*(1-Parametri!$B$3)+((Coefficienti!$B$7+Coefficienti!$B$8*J$22+Coefficienti!$B$9*$A37)+Coefficienti!$B$10)*(1-Parametri!$B$4))*(1+Parametri!$B$5)+FerrGriglia!J16+Coefficienti!$B$11*Parametri!$B$6,2)</f>
        <v/>
      </c>
      <c r="K37" s="4">
        <f>ROUND((((Coefficienti!$B$1+Coefficienti!$B$2*K$22+Coefficienti!$B$3*$A37)*Parametri!$B$1+(Coefficienti!$B$4+Coefficienti!$B$5*K$22+Coefficienti!$B$6*$A37)*Parametri!$B$2)*(1-Parametri!$B$3)+((Coefficienti!$B$7+Coefficienti!$B$8*K$22+Coefficienti!$B$9*$A37)+Coefficienti!$B$10)*(1-Parametri!$B$4))*(1+Parametri!$B$5)+FerrGriglia!K16+Coefficienti!$B$11*Parametri!$B$6,2)</f>
        <v/>
      </c>
      <c r="L37" s="4">
        <f>ROUND((((Coefficienti!$B$1+Coefficienti!$B$2*L$22+Coefficienti!$B$3*$A37)*Parametri!$B$1+(Coefficienti!$B$4+Coefficienti!$B$5*L$22+Coefficienti!$B$6*$A37)*Parametri!$B$2)*(1-Parametri!$B$3)+((Coefficienti!$B$7+Coefficienti!$B$8*L$22+Coefficienti!$B$9*$A37)+Coefficienti!$B$10)*(1-Parametri!$B$4))*(1+Parametri!$B$5)+FerrGriglia!L16+Coefficienti!$B$11*Parametri!$B$6,2)</f>
        <v/>
      </c>
      <c r="M37" s="4">
        <f>ROUND((((Coefficienti!$B$1+Coefficienti!$B$2*M$22+Coefficienti!$B$3*$A37)*Parametri!$B$1+(Coefficienti!$B$4+Coefficienti!$B$5*M$22+Coefficienti!$B$6*$A37)*Parametri!$B$2)*(1-Parametri!$B$3)+((Coefficienti!$B$7+Coefficienti!$B$8*M$22+Coefficienti!$B$9*$A37)+Coefficienti!$B$10)*(1-Parametri!$B$4))*(1+Parametri!$B$5)+FerrGriglia!M16+Coefficienti!$B$11*Parametri!$B$6,2)</f>
        <v/>
      </c>
      <c r="N37" s="4">
        <f>ROUND((((Coefficienti!$B$1+Coefficienti!$B$2*N$22+Coefficienti!$B$3*$A37)*Parametri!$B$1+(Coefficienti!$B$4+Coefficienti!$B$5*N$22+Coefficienti!$B$6*$A37)*Parametri!$B$2)*(1-Parametri!$B$3)+((Coefficienti!$B$7+Coefficienti!$B$8*N$22+Coefficienti!$B$9*$A37)+Coefficienti!$B$10)*(1-Parametri!$B$4))*(1+Parametri!$B$5)+FerrGriglia!N16+Coefficienti!$B$11*Parametri!$B$6,2)</f>
        <v/>
      </c>
    </row>
    <row r="38">
      <c r="A38" s="2" t="n">
        <v>2000</v>
      </c>
      <c r="B38" s="4">
        <f>ROUND((((Coefficienti!$B$1+Coefficienti!$B$2*B$22+Coefficienti!$B$3*$A38)*Parametri!$B$1+(Coefficienti!$B$4+Coefficienti!$B$5*B$22+Coefficienti!$B$6*$A38)*Parametri!$B$2)*(1-Parametri!$B$3)+((Coefficienti!$B$7+Coefficienti!$B$8*B$22+Coefficienti!$B$9*$A38)+Coefficienti!$B$10)*(1-Parametri!$B$4))*(1+Parametri!$B$5)+FerrGriglia!B17+Coefficienti!$B$11*Parametri!$B$6,2)</f>
        <v/>
      </c>
      <c r="C38" s="4">
        <f>ROUND((((Coefficienti!$B$1+Coefficienti!$B$2*C$22+Coefficienti!$B$3*$A38)*Parametri!$B$1+(Coefficienti!$B$4+Coefficienti!$B$5*C$22+Coefficienti!$B$6*$A38)*Parametri!$B$2)*(1-Parametri!$B$3)+((Coefficienti!$B$7+Coefficienti!$B$8*C$22+Coefficienti!$B$9*$A38)+Coefficienti!$B$10)*(1-Parametri!$B$4))*(1+Parametri!$B$5)+FerrGriglia!C17+Coefficienti!$B$11*Parametri!$B$6,2)</f>
        <v/>
      </c>
      <c r="D38" s="4">
        <f>ROUND((((Coefficienti!$B$1+Coefficienti!$B$2*D$22+Coefficienti!$B$3*$A38)*Parametri!$B$1+(Coefficienti!$B$4+Coefficienti!$B$5*D$22+Coefficienti!$B$6*$A38)*Parametri!$B$2)*(1-Parametri!$B$3)+((Coefficienti!$B$7+Coefficienti!$B$8*D$22+Coefficienti!$B$9*$A38)+Coefficienti!$B$10)*(1-Parametri!$B$4))*(1+Parametri!$B$5)+FerrGriglia!D17+Coefficienti!$B$11*Parametri!$B$6,2)</f>
        <v/>
      </c>
      <c r="E38" s="4">
        <f>ROUND((((Coefficienti!$B$1+Coefficienti!$B$2*E$22+Coefficienti!$B$3*$A38)*Parametri!$B$1+(Coefficienti!$B$4+Coefficienti!$B$5*E$22+Coefficienti!$B$6*$A38)*Parametri!$B$2)*(1-Parametri!$B$3)+((Coefficienti!$B$7+Coefficienti!$B$8*E$22+Coefficienti!$B$9*$A38)+Coefficienti!$B$10)*(1-Parametri!$B$4))*(1+Parametri!$B$5)+FerrGriglia!E17+Coefficienti!$B$11*Parametri!$B$6,2)</f>
        <v/>
      </c>
      <c r="F38" s="4">
        <f>ROUND((((Coefficienti!$B$1+Coefficienti!$B$2*F$22+Coefficienti!$B$3*$A38)*Parametri!$B$1+(Coefficienti!$B$4+Coefficienti!$B$5*F$22+Coefficienti!$B$6*$A38)*Parametri!$B$2)*(1-Parametri!$B$3)+((Coefficienti!$B$7+Coefficienti!$B$8*F$22+Coefficienti!$B$9*$A38)+Coefficienti!$B$10)*(1-Parametri!$B$4))*(1+Parametri!$B$5)+FerrGriglia!F17+Coefficienti!$B$11*Parametri!$B$6,2)</f>
        <v/>
      </c>
      <c r="G38" s="4">
        <f>ROUND((((Coefficienti!$B$1+Coefficienti!$B$2*G$22+Coefficienti!$B$3*$A38)*Parametri!$B$1+(Coefficienti!$B$4+Coefficienti!$B$5*G$22+Coefficienti!$B$6*$A38)*Parametri!$B$2)*(1-Parametri!$B$3)+((Coefficienti!$B$7+Coefficienti!$B$8*G$22+Coefficienti!$B$9*$A38)+Coefficienti!$B$10)*(1-Parametri!$B$4))*(1+Parametri!$B$5)+FerrGriglia!G17+Coefficienti!$B$11*Parametri!$B$6,2)</f>
        <v/>
      </c>
      <c r="H38" s="4">
        <f>ROUND((((Coefficienti!$B$1+Coefficienti!$B$2*H$22+Coefficienti!$B$3*$A38)*Parametri!$B$1+(Coefficienti!$B$4+Coefficienti!$B$5*H$22+Coefficienti!$B$6*$A38)*Parametri!$B$2)*(1-Parametri!$B$3)+((Coefficienti!$B$7+Coefficienti!$B$8*H$22+Coefficienti!$B$9*$A38)+Coefficienti!$B$10)*(1-Parametri!$B$4))*(1+Parametri!$B$5)+FerrGriglia!H17+Coefficienti!$B$11*Parametri!$B$6,2)</f>
        <v/>
      </c>
      <c r="I38" s="4">
        <f>ROUND((((Coefficienti!$B$1+Coefficienti!$B$2*I$22+Coefficienti!$B$3*$A38)*Parametri!$B$1+(Coefficienti!$B$4+Coefficienti!$B$5*I$22+Coefficienti!$B$6*$A38)*Parametri!$B$2)*(1-Parametri!$B$3)+((Coefficienti!$B$7+Coefficienti!$B$8*I$22+Coefficienti!$B$9*$A38)+Coefficienti!$B$10)*(1-Parametri!$B$4))*(1+Parametri!$B$5)+FerrGriglia!I17+Coefficienti!$B$11*Parametri!$B$6,2)</f>
        <v/>
      </c>
      <c r="J38" s="4">
        <f>ROUND((((Coefficienti!$B$1+Coefficienti!$B$2*J$22+Coefficienti!$B$3*$A38)*Parametri!$B$1+(Coefficienti!$B$4+Coefficienti!$B$5*J$22+Coefficienti!$B$6*$A38)*Parametri!$B$2)*(1-Parametri!$B$3)+((Coefficienti!$B$7+Coefficienti!$B$8*J$22+Coefficienti!$B$9*$A38)+Coefficienti!$B$10)*(1-Parametri!$B$4))*(1+Parametri!$B$5)+FerrGriglia!J17+Coefficienti!$B$11*Parametri!$B$6,2)</f>
        <v/>
      </c>
      <c r="K38" s="4">
        <f>ROUND((((Coefficienti!$B$1+Coefficienti!$B$2*K$22+Coefficienti!$B$3*$A38)*Parametri!$B$1+(Coefficienti!$B$4+Coefficienti!$B$5*K$22+Coefficienti!$B$6*$A38)*Parametri!$B$2)*(1-Parametri!$B$3)+((Coefficienti!$B$7+Coefficienti!$B$8*K$22+Coefficienti!$B$9*$A38)+Coefficienti!$B$10)*(1-Parametri!$B$4))*(1+Parametri!$B$5)+FerrGriglia!K17+Coefficienti!$B$11*Parametri!$B$6,2)</f>
        <v/>
      </c>
      <c r="L38" s="4">
        <f>ROUND((((Coefficienti!$B$1+Coefficienti!$B$2*L$22+Coefficienti!$B$3*$A38)*Parametri!$B$1+(Coefficienti!$B$4+Coefficienti!$B$5*L$22+Coefficienti!$B$6*$A38)*Parametri!$B$2)*(1-Parametri!$B$3)+((Coefficienti!$B$7+Coefficienti!$B$8*L$22+Coefficienti!$B$9*$A38)+Coefficienti!$B$10)*(1-Parametri!$B$4))*(1+Parametri!$B$5)+FerrGriglia!L17+Coefficienti!$B$11*Parametri!$B$6,2)</f>
        <v/>
      </c>
      <c r="M38" s="4">
        <f>ROUND((((Coefficienti!$B$1+Coefficienti!$B$2*M$22+Coefficienti!$B$3*$A38)*Parametri!$B$1+(Coefficienti!$B$4+Coefficienti!$B$5*M$22+Coefficienti!$B$6*$A38)*Parametri!$B$2)*(1-Parametri!$B$3)+((Coefficienti!$B$7+Coefficienti!$B$8*M$22+Coefficienti!$B$9*$A38)+Coefficienti!$B$10)*(1-Parametri!$B$4))*(1+Parametri!$B$5)+FerrGriglia!M17+Coefficienti!$B$11*Parametri!$B$6,2)</f>
        <v/>
      </c>
      <c r="N38" s="4">
        <f>ROUND((((Coefficienti!$B$1+Coefficienti!$B$2*N$22+Coefficienti!$B$3*$A38)*Parametri!$B$1+(Coefficienti!$B$4+Coefficienti!$B$5*N$22+Coefficienti!$B$6*$A38)*Parametri!$B$2)*(1-Parametri!$B$3)+((Coefficienti!$B$7+Coefficienti!$B$8*N$22+Coefficienti!$B$9*$A38)+Coefficienti!$B$10)*(1-Parametri!$B$4))*(1+Parametri!$B$5)+FerrGriglia!N17+Coefficienti!$B$11*Parametri!$B$6,2)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70" customWidth="1" min="1" max="1"/>
    <col width="12" customWidth="1" min="2" max="2"/>
  </cols>
  <sheetData>
    <row r="1">
      <c r="A1" s="5" t="inlineStr">
        <is>
          <t>Prezzo profili taglio termico €/kg (33320 CAT.B +ADD — RAL 7016)</t>
        </is>
      </c>
      <c r="B1" s="6" t="n">
        <v>19.93</v>
      </c>
    </row>
    <row r="2">
      <c r="A2" s="5" t="inlineStr">
        <is>
          <t>Prezzo profili normali €/kg (10820 CAT.B +ADD — fermavetri, aggiuntivi, gocciolatoio)</t>
        </is>
      </c>
      <c r="B2" s="6" t="n">
        <v>14.82</v>
      </c>
    </row>
    <row r="3">
      <c r="A3" s="5" t="inlineStr">
        <is>
          <t>Sconto profili su listino AluK C75S/C82S-CS</t>
        </is>
      </c>
      <c r="B3" s="7" t="n">
        <v>0.43</v>
      </c>
    </row>
    <row r="4">
      <c r="A4" s="5" t="inlineStr">
        <is>
          <t>Sconto accessori/guarnizioni su listino AluK</t>
        </is>
      </c>
      <c r="B4" s="7" t="n">
        <v>0.2</v>
      </c>
    </row>
    <row r="5">
      <c r="A5" s="5" t="inlineStr">
        <is>
          <t>Sfrido</t>
        </is>
      </c>
      <c r="B5" s="7" t="n">
        <v>0.09</v>
      </c>
    </row>
    <row r="6">
      <c r="A6" s="5" t="inlineStr">
        <is>
          <t>Tariffa oraria manodopera €/h</t>
        </is>
      </c>
      <c r="B6" s="6" t="n">
        <v>65</v>
      </c>
    </row>
    <row r="7">
      <c r="A7" s="5" t="inlineStr">
        <is>
          <t>Ricarico su costo totale</t>
        </is>
      </c>
      <c r="B7" s="7" t="n">
        <v>2.13</v>
      </c>
    </row>
    <row r="9">
      <c r="A9" s="5" t="inlineStr">
        <is>
          <t>Celle gialle = valori modificabili: tutte le griglie si ricalcolano.</t>
        </is>
      </c>
    </row>
    <row r="10">
      <c r="A10" s="5" t="inlineStr">
        <is>
          <t>Prezzi: listino AluK C75S/C82S-CS decorrenza 2026-06-15 (listini-db). Ferramenta: prezzi nel foglio dedicato.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6" customWidth="1" min="1" max="1"/>
  </cols>
  <sheetData>
    <row r="1">
      <c r="A1" s="5" t="inlineStr">
        <is>
          <t>Peso profili taglio termico costante (kg)</t>
        </is>
      </c>
      <c r="B1" s="5" t="n">
        <v>-0.36516</v>
      </c>
    </row>
    <row r="2">
      <c r="A2" s="5" t="inlineStr">
        <is>
          <t>Peso taglio termico per mm di L (kg/mm)</t>
        </is>
      </c>
      <c r="B2" s="5" t="n">
        <v>0.00598</v>
      </c>
    </row>
    <row r="3">
      <c r="A3" s="5" t="inlineStr">
        <is>
          <t>Peso taglio termico per mm di H (kg/mm)</t>
        </is>
      </c>
      <c r="B3" s="5" t="n">
        <v>0.008999999999999999</v>
      </c>
    </row>
    <row r="4">
      <c r="A4" s="5" t="inlineStr">
        <is>
          <t>Peso profili normali costante (kg)</t>
        </is>
      </c>
      <c r="B4" s="5" t="n">
        <v>-0.44795</v>
      </c>
    </row>
    <row r="5">
      <c r="A5" s="5" t="inlineStr">
        <is>
          <t>Peso normali per mm di L (kg/mm)</t>
        </is>
      </c>
      <c r="B5" s="5" t="n">
        <v>0.00074</v>
      </c>
    </row>
    <row r="6">
      <c r="A6" s="5" t="inlineStr">
        <is>
          <t>Peso normali per mm di H (kg/mm)</t>
        </is>
      </c>
      <c r="B6" s="5" t="n">
        <v>0.00187</v>
      </c>
    </row>
    <row r="7">
      <c r="A7" s="5" t="inlineStr">
        <is>
          <t>Guarnizioni costante (€ listino)</t>
        </is>
      </c>
      <c r="B7" s="5" t="n">
        <v>0.015277</v>
      </c>
    </row>
    <row r="8">
      <c r="A8" s="5" t="inlineStr">
        <is>
          <t>Guarnizioni per mm di L (€/mm)</t>
        </is>
      </c>
      <c r="B8" s="5" t="n">
        <v>0.002453</v>
      </c>
    </row>
    <row r="9">
      <c r="A9" s="5" t="inlineStr">
        <is>
          <t>Guarnizioni per mm di H (€/mm)</t>
        </is>
      </c>
      <c r="B9" s="5" t="n">
        <v>0.003157</v>
      </c>
    </row>
    <row r="10">
      <c r="A10" s="5" t="inlineStr">
        <is>
          <t>Accessori totale (€ listino)</t>
        </is>
      </c>
      <c r="B10" s="5" t="n">
        <v>54.91</v>
      </c>
    </row>
    <row r="11">
      <c r="A11" s="5" t="inlineStr">
        <is>
          <t>Ore manodopera</t>
        </is>
      </c>
      <c r="B11" s="5" t="n">
        <v>4.33333333</v>
      </c>
    </row>
    <row r="13">
      <c r="A13" s="5" t="inlineStr">
        <is>
          <t>Derivati dalle distinte catalogo AluK C75S sez. 8 e pesi kg/m catalogo v3.</t>
        </is>
      </c>
    </row>
    <row r="14">
      <c r="A14" s="5" t="inlineStr">
        <is>
          <t>Assunzioni: supporti vetro V62008 = 4 per vetro; mascherine V51015 = 2 pz;</t>
        </is>
      </c>
    </row>
    <row r="15">
      <c r="A15" s="5" t="inlineStr">
        <is>
          <t>fermavetro battenti N45860 (0,37 kg/m), fisso coppia N45856 (0,62 kg/m);</t>
        </is>
      </c>
    </row>
    <row r="16">
      <c r="A16" s="5" t="inlineStr">
        <is>
          <t>squadrette V40022/V40037 prezzate come V40022 (0,607 €).</t>
        </is>
      </c>
    </row>
    <row r="17">
      <c r="A17" s="5" t="inlineStr">
        <is>
          <t>Manodopera: 1h telaio + 1h/anta + 20' ferramenta/anta + 20'/vetro.</t>
        </is>
      </c>
    </row>
    <row r="18">
      <c r="A18" s="5" t="inlineStr">
        <is>
          <t>Taglio termico = codici B (stipite, anta, battuta centrale, soglia); normali = N/K (aggiuntivo, gocciolatoio, fermavetri).</t>
        </is>
      </c>
    </row>
    <row r="19">
      <c r="A19" s="5" t="inlineStr">
        <is>
          <t>Prezzi unitari accessori e guarnizioni (pre-sconto): listino AluK C75S/C82S-CS decorrenza 2026-06-15 (listini-db).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5" max="5"/>
  </cols>
  <sheetData>
    <row r="1">
      <c r="A1" s="2" t="inlineStr">
        <is>
          <t>Componente</t>
        </is>
      </c>
      <c r="B1" s="2" t="inlineStr">
        <is>
          <t>Q.tà</t>
        </is>
      </c>
      <c r="C1" s="2" t="inlineStr">
        <is>
          <t>Prezzo €/pz</t>
        </is>
      </c>
      <c r="D1" s="2" t="inlineStr">
        <is>
          <t>Subtotale €</t>
        </is>
      </c>
      <c r="E1" s="2" t="inlineStr">
        <is>
          <t>Fonte</t>
        </is>
      </c>
      <c r="G1" s="5" t="inlineStr">
        <is>
          <t>Kit Maico per la misura di riferimento 1000x1500 (FFB/FFH = anta-20). Le griglie usano il foglio FerrGriglia (kit per ogni misura).</t>
        </is>
      </c>
    </row>
    <row r="2">
      <c r="A2" s="5" t="inlineStr">
        <is>
          <t>Cremonese Multi-Matic (lvMWEspagnoletteGesamt) (201745)</t>
        </is>
      </c>
      <c r="B2" s="8" t="n">
        <v>1</v>
      </c>
      <c r="C2" s="6" t="n">
        <v>3.57</v>
      </c>
      <c r="D2" s="4">
        <f>B2*C2</f>
        <v/>
      </c>
      <c r="E2" s="5" t="inlineStr">
        <is>
          <t>netto 2025</t>
        </is>
      </c>
    </row>
    <row r="3">
      <c r="A3" s="5" t="inlineStr">
        <is>
          <t>Prolunga cremonese sopra (VerlaengerungFixOben) (201750)</t>
        </is>
      </c>
      <c r="B3" s="8" t="n">
        <v>1</v>
      </c>
      <c r="C3" s="6" t="n">
        <v>2.17</v>
      </c>
      <c r="D3" s="4">
        <f>B3*C3</f>
        <v/>
      </c>
      <c r="E3" s="5" t="inlineStr">
        <is>
          <t>netto 2025</t>
        </is>
      </c>
    </row>
    <row r="4">
      <c r="A4" s="5" t="inlineStr">
        <is>
          <t>Prolunga cremonese sotto (VerlaengerungFixUnten) (201750)</t>
        </is>
      </c>
      <c r="B4" s="8" t="n">
        <v>1</v>
      </c>
      <c r="C4" s="6" t="n">
        <v>2.17</v>
      </c>
      <c r="D4" s="4">
        <f>B4*C4</f>
        <v/>
      </c>
      <c r="E4" s="5" t="inlineStr">
        <is>
          <t>netto 2025</t>
        </is>
      </c>
    </row>
    <row r="5">
      <c r="A5" s="5" t="inlineStr">
        <is>
          <t>Movimento angolare MM (Eckumlenkung) (222201)</t>
        </is>
      </c>
      <c r="B5" s="8" t="n">
        <v>1</v>
      </c>
      <c r="C5" s="6" t="n">
        <v>1.33</v>
      </c>
      <c r="D5" s="4">
        <f>B5*C5</f>
        <v/>
      </c>
      <c r="E5" s="5" t="inlineStr">
        <is>
          <t>netto 2025</t>
        </is>
      </c>
    </row>
    <row r="6">
      <c r="A6" s="5" t="inlineStr">
        <is>
          <t>Movimento angolare verticale (EckumlenkungVertikal) (222209)</t>
        </is>
      </c>
      <c r="B6" s="8" t="n">
        <v>1</v>
      </c>
      <c r="C6" s="6" t="n">
        <v>0.92</v>
      </c>
      <c r="D6" s="4">
        <f>B6*C6</f>
        <v/>
      </c>
      <c r="E6" s="5" t="inlineStr">
        <is>
          <t>netto 2025</t>
        </is>
      </c>
    </row>
    <row r="7">
      <c r="A7" s="5" t="inlineStr">
        <is>
          <t>Chiusura centrale lato cerniere (MittelverschlussEinteiligIS) (211930)</t>
        </is>
      </c>
      <c r="B7" s="8" t="n">
        <v>1</v>
      </c>
      <c r="C7" s="6" t="n">
        <v>2.03</v>
      </c>
      <c r="D7" s="4">
        <f>B7*C7</f>
        <v/>
      </c>
      <c r="E7" s="5" t="inlineStr">
        <is>
          <t>netto 2025</t>
        </is>
      </c>
    </row>
    <row r="8">
      <c r="A8" s="5" t="inlineStr">
        <is>
          <t>Forbice + braccio (ScherenMontiert) (211675)</t>
        </is>
      </c>
      <c r="B8" s="8" t="n">
        <v>1</v>
      </c>
      <c r="C8" s="6" t="n">
        <v>2.58</v>
      </c>
      <c r="D8" s="4">
        <f>B8*C8</f>
        <v/>
      </c>
      <c r="E8" s="5" t="inlineStr">
        <is>
          <t>netto 2025</t>
        </is>
      </c>
    </row>
    <row r="9">
      <c r="A9" s="5" t="inlineStr">
        <is>
          <t>Forbice + braccio (ScherenMontiert) (211676)</t>
        </is>
      </c>
      <c r="B9" s="8" t="n">
        <v>1</v>
      </c>
      <c r="C9" s="6" t="n">
        <v>2.58</v>
      </c>
      <c r="D9" s="4">
        <f>B9*C9</f>
        <v/>
      </c>
      <c r="E9" s="5" t="inlineStr">
        <is>
          <t>netto 2025</t>
        </is>
      </c>
    </row>
    <row r="10">
      <c r="A10" s="5" t="inlineStr">
        <is>
          <t>Cerniera angolare (ArtNrEcklager) (250400)</t>
        </is>
      </c>
      <c r="B10" s="8" t="n">
        <v>1</v>
      </c>
      <c r="C10" s="6" t="n">
        <v>5.45</v>
      </c>
      <c r="D10" s="4">
        <f>B10*C10</f>
        <v/>
      </c>
      <c r="E10" s="5" t="inlineStr">
        <is>
          <t>netto 2025</t>
        </is>
      </c>
    </row>
    <row r="11">
      <c r="A11" s="5" t="inlineStr">
        <is>
          <t>Bandella cerniera angolare (ArtNrEcklagerband) (215806)</t>
        </is>
      </c>
      <c r="B11" s="8" t="n">
        <v>1</v>
      </c>
      <c r="C11" s="6" t="n">
        <v>2.33</v>
      </c>
      <c r="D11" s="4">
        <f>B11*C11</f>
        <v/>
      </c>
      <c r="E11" s="5" t="inlineStr">
        <is>
          <t>netto 2025</t>
        </is>
      </c>
    </row>
    <row r="12">
      <c r="A12" s="5" t="inlineStr">
        <is>
          <t>Scontro fungo IS (SchliessteilIS) (356361)</t>
        </is>
      </c>
      <c r="B12" s="8" t="n">
        <v>2</v>
      </c>
      <c r="C12" s="6" t="n">
        <v>0.3728</v>
      </c>
      <c r="D12" s="4">
        <f>B12*C12</f>
        <v/>
      </c>
      <c r="E12" s="5" t="inlineStr">
        <is>
          <t>netto 2025</t>
        </is>
      </c>
    </row>
    <row r="13">
      <c r="A13" s="5" t="inlineStr">
        <is>
          <t>Martellina DK — non nel netto 2025 (1033)</t>
        </is>
      </c>
      <c r="B13" s="8" t="n">
        <v>1</v>
      </c>
      <c r="C13" s="6" t="n">
        <v>5.5</v>
      </c>
      <c r="D13" s="4">
        <f>B13*C13</f>
        <v/>
      </c>
      <c r="E13" s="5" t="inlineStr">
        <is>
          <t>manuale</t>
        </is>
      </c>
    </row>
    <row r="14">
      <c r="A14" s="5" t="inlineStr">
        <is>
          <t>Scontro nottolino personalizzato (VZPersonalisiert) — NON a listino (355866)</t>
        </is>
      </c>
      <c r="B14" s="8" t="n">
        <v>4</v>
      </c>
      <c r="C14" s="6" t="n">
        <v>0</v>
      </c>
      <c r="D14" s="4">
        <f>B14*C14</f>
        <v/>
      </c>
      <c r="E14" s="5" t="inlineStr">
        <is>
          <t>da inserire</t>
        </is>
      </c>
    </row>
    <row r="15">
      <c r="A15" s="5" t="inlineStr">
        <is>
          <t>Asta a leva MM anta semifissa (221911)</t>
        </is>
      </c>
      <c r="B15" s="8" t="n">
        <v>1</v>
      </c>
      <c r="C15" s="6" t="n">
        <v>4.46</v>
      </c>
      <c r="D15" s="4">
        <f>B15*C15</f>
        <v/>
      </c>
      <c r="E15" s="5" t="inlineStr">
        <is>
          <t>netto 2025</t>
        </is>
      </c>
    </row>
    <row r="16">
      <c r="A16" s="5" t="inlineStr">
        <is>
          <t>Movimento angolare prolungabile (222205)</t>
        </is>
      </c>
      <c r="B16" s="8" t="n">
        <v>1</v>
      </c>
      <c r="C16" s="6" t="n">
        <v>1.27</v>
      </c>
      <c r="D16" s="4">
        <f>B16*C16</f>
        <v/>
      </c>
      <c r="E16" s="5" t="inlineStr">
        <is>
          <t>netto 2025</t>
        </is>
      </c>
    </row>
    <row r="17">
      <c r="A17" s="5" t="inlineStr">
        <is>
          <t>Scontri anta semifissa — DA INSERIRE</t>
        </is>
      </c>
      <c r="B17" s="8" t="n">
        <v>1</v>
      </c>
      <c r="C17" s="6" t="n">
        <v>0</v>
      </c>
      <c r="D17" s="4">
        <f>B17*C17</f>
        <v/>
      </c>
      <c r="E17" s="5" t="inlineStr">
        <is>
          <t>da inserire</t>
        </is>
      </c>
    </row>
    <row r="18">
      <c r="A18" s="9" t="inlineStr">
        <is>
          <t>TOTALE FERRAMENTA</t>
        </is>
      </c>
      <c r="D18" s="10">
        <f>SUM(D2:D17)</f>
        <v/>
      </c>
    </row>
    <row r="20">
      <c r="A20" s="5" t="inlineStr">
        <is>
          <t>Celle gialle modificabili. Prezzi a 0 = da inserire: il listino li ignora finché vuoti.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H/L</t>
        </is>
      </c>
      <c r="B1" s="9" t="n">
        <v>800</v>
      </c>
      <c r="C1" s="9" t="n">
        <v>900</v>
      </c>
      <c r="D1" s="9" t="n">
        <v>1000</v>
      </c>
      <c r="E1" s="9" t="n">
        <v>1100</v>
      </c>
      <c r="F1" s="9" t="n">
        <v>1200</v>
      </c>
      <c r="G1" s="9" t="n">
        <v>1300</v>
      </c>
      <c r="H1" s="9" t="n">
        <v>1400</v>
      </c>
      <c r="I1" s="9" t="n">
        <v>1500</v>
      </c>
      <c r="J1" s="9" t="n">
        <v>1600</v>
      </c>
      <c r="K1" s="9" t="n">
        <v>1700</v>
      </c>
      <c r="L1" s="9" t="n">
        <v>1800</v>
      </c>
      <c r="M1" s="9" t="n">
        <v>1900</v>
      </c>
      <c r="N1" s="9" t="n">
        <v>2000</v>
      </c>
    </row>
    <row r="2">
      <c r="A2" s="9" t="n">
        <v>500</v>
      </c>
      <c r="B2" s="4" t="n">
        <v>27.62</v>
      </c>
      <c r="C2" s="4" t="n">
        <v>27.98</v>
      </c>
      <c r="D2" s="4" t="n">
        <v>27.98</v>
      </c>
      <c r="E2" s="4" t="n">
        <v>30.85</v>
      </c>
      <c r="F2" s="4" t="n">
        <v>30.85</v>
      </c>
      <c r="G2" s="4" t="n">
        <v>31.21</v>
      </c>
      <c r="H2" s="4" t="n">
        <v>31.21</v>
      </c>
      <c r="I2" s="4" t="n">
        <v>31.21</v>
      </c>
      <c r="J2" s="4" t="n">
        <v>31.21</v>
      </c>
      <c r="K2" s="4" t="n">
        <v>33.94</v>
      </c>
      <c r="L2" s="4" t="n">
        <v>33.94</v>
      </c>
      <c r="M2" s="4" t="n">
        <v>33.94</v>
      </c>
      <c r="N2" s="4" t="n">
        <v>33.94</v>
      </c>
    </row>
    <row r="3">
      <c r="A3" s="9" t="n">
        <v>600</v>
      </c>
      <c r="B3" s="4" t="n">
        <v>27.62</v>
      </c>
      <c r="C3" s="4" t="n">
        <v>27.98</v>
      </c>
      <c r="D3" s="4" t="n">
        <v>27.98</v>
      </c>
      <c r="E3" s="4" t="n">
        <v>30.85</v>
      </c>
      <c r="F3" s="4" t="n">
        <v>30.85</v>
      </c>
      <c r="G3" s="4" t="n">
        <v>31.21</v>
      </c>
      <c r="H3" s="4" t="n">
        <v>31.21</v>
      </c>
      <c r="I3" s="4" t="n">
        <v>31.21</v>
      </c>
      <c r="J3" s="4" t="n">
        <v>31.21</v>
      </c>
      <c r="K3" s="4" t="n">
        <v>33.94</v>
      </c>
      <c r="L3" s="4" t="n">
        <v>33.94</v>
      </c>
      <c r="M3" s="4" t="n">
        <v>33.94</v>
      </c>
      <c r="N3" s="4" t="n">
        <v>33.94</v>
      </c>
    </row>
    <row r="4">
      <c r="A4" s="9" t="n">
        <v>700</v>
      </c>
      <c r="B4" s="4" t="n">
        <v>27.62</v>
      </c>
      <c r="C4" s="4" t="n">
        <v>27.98</v>
      </c>
      <c r="D4" s="4" t="n">
        <v>27.98</v>
      </c>
      <c r="E4" s="4" t="n">
        <v>30.85</v>
      </c>
      <c r="F4" s="4" t="n">
        <v>30.85</v>
      </c>
      <c r="G4" s="4" t="n">
        <v>31.21</v>
      </c>
      <c r="H4" s="4" t="n">
        <v>31.21</v>
      </c>
      <c r="I4" s="4" t="n">
        <v>31.21</v>
      </c>
      <c r="J4" s="4" t="n">
        <v>31.21</v>
      </c>
      <c r="K4" s="4" t="n">
        <v>33.94</v>
      </c>
      <c r="L4" s="4" t="n">
        <v>33.94</v>
      </c>
      <c r="M4" s="4" t="n">
        <v>33.94</v>
      </c>
      <c r="N4" s="4" t="n">
        <v>33.94</v>
      </c>
    </row>
    <row r="5">
      <c r="A5" s="9" t="n">
        <v>800</v>
      </c>
      <c r="B5" s="4" t="n">
        <v>28.1</v>
      </c>
      <c r="C5" s="4" t="n">
        <v>28.46</v>
      </c>
      <c r="D5" s="4" t="n">
        <v>28.46</v>
      </c>
      <c r="E5" s="4" t="n">
        <v>31.33</v>
      </c>
      <c r="F5" s="4" t="n">
        <v>31.33</v>
      </c>
      <c r="G5" s="4" t="n">
        <v>31.69</v>
      </c>
      <c r="H5" s="4" t="n">
        <v>31.69</v>
      </c>
      <c r="I5" s="4" t="n">
        <v>31.69</v>
      </c>
      <c r="J5" s="4" t="n">
        <v>31.69</v>
      </c>
      <c r="K5" s="4" t="n">
        <v>34.42</v>
      </c>
      <c r="L5" s="4" t="n">
        <v>34.42</v>
      </c>
      <c r="M5" s="4" t="n">
        <v>34.42</v>
      </c>
      <c r="N5" s="4" t="n">
        <v>34.42</v>
      </c>
    </row>
    <row r="6">
      <c r="A6" s="9" t="n">
        <v>900</v>
      </c>
      <c r="B6" s="4" t="n">
        <v>34.17</v>
      </c>
      <c r="C6" s="4" t="n">
        <v>34.53</v>
      </c>
      <c r="D6" s="4" t="n">
        <v>34.53</v>
      </c>
      <c r="E6" s="4" t="n">
        <v>37.4</v>
      </c>
      <c r="F6" s="4" t="n">
        <v>37.4</v>
      </c>
      <c r="G6" s="4" t="n">
        <v>37.76</v>
      </c>
      <c r="H6" s="4" t="n">
        <v>37.76</v>
      </c>
      <c r="I6" s="4" t="n">
        <v>37.76</v>
      </c>
      <c r="J6" s="4" t="n">
        <v>37.76</v>
      </c>
      <c r="K6" s="4" t="n">
        <v>40.49</v>
      </c>
      <c r="L6" s="4" t="n">
        <v>40.49</v>
      </c>
      <c r="M6" s="4" t="n">
        <v>40.49</v>
      </c>
      <c r="N6" s="4" t="n">
        <v>40.49</v>
      </c>
    </row>
    <row r="7">
      <c r="A7" s="9" t="n">
        <v>1000</v>
      </c>
      <c r="B7" s="4" t="n">
        <v>34.89</v>
      </c>
      <c r="C7" s="4" t="n">
        <v>35.25</v>
      </c>
      <c r="D7" s="4" t="n">
        <v>35.25</v>
      </c>
      <c r="E7" s="4" t="n">
        <v>38.12</v>
      </c>
      <c r="F7" s="4" t="n">
        <v>38.12</v>
      </c>
      <c r="G7" s="4" t="n">
        <v>38.48</v>
      </c>
      <c r="H7" s="4" t="n">
        <v>38.48</v>
      </c>
      <c r="I7" s="4" t="n">
        <v>38.48</v>
      </c>
      <c r="J7" s="4" t="n">
        <v>38.48</v>
      </c>
      <c r="K7" s="4" t="n">
        <v>41.21</v>
      </c>
      <c r="L7" s="4" t="n">
        <v>41.21</v>
      </c>
      <c r="M7" s="4" t="n">
        <v>41.21</v>
      </c>
      <c r="N7" s="4" t="n">
        <v>41.21</v>
      </c>
    </row>
    <row r="8">
      <c r="A8" s="9" t="n">
        <v>1100</v>
      </c>
      <c r="B8" s="4" t="n">
        <v>34.89</v>
      </c>
      <c r="C8" s="4" t="n">
        <v>35.25</v>
      </c>
      <c r="D8" s="4" t="n">
        <v>35.25</v>
      </c>
      <c r="E8" s="4" t="n">
        <v>38.12</v>
      </c>
      <c r="F8" s="4" t="n">
        <v>38.12</v>
      </c>
      <c r="G8" s="4" t="n">
        <v>38.48</v>
      </c>
      <c r="H8" s="4" t="n">
        <v>38.48</v>
      </c>
      <c r="I8" s="4" t="n">
        <v>38.48</v>
      </c>
      <c r="J8" s="4" t="n">
        <v>38.48</v>
      </c>
      <c r="K8" s="4" t="n">
        <v>41.21</v>
      </c>
      <c r="L8" s="4" t="n">
        <v>41.21</v>
      </c>
      <c r="M8" s="4" t="n">
        <v>41.21</v>
      </c>
      <c r="N8" s="4" t="n">
        <v>41.21</v>
      </c>
    </row>
    <row r="9">
      <c r="A9" s="9" t="n">
        <v>1200</v>
      </c>
      <c r="B9" s="4" t="n">
        <v>35.43</v>
      </c>
      <c r="C9" s="4" t="n">
        <v>35.79</v>
      </c>
      <c r="D9" s="4" t="n">
        <v>35.79</v>
      </c>
      <c r="E9" s="4" t="n">
        <v>38.66</v>
      </c>
      <c r="F9" s="4" t="n">
        <v>38.66</v>
      </c>
      <c r="G9" s="4" t="n">
        <v>39.02</v>
      </c>
      <c r="H9" s="4" t="n">
        <v>39.02</v>
      </c>
      <c r="I9" s="4" t="n">
        <v>39.02</v>
      </c>
      <c r="J9" s="4" t="n">
        <v>39.02</v>
      </c>
      <c r="K9" s="4" t="n">
        <v>41.75</v>
      </c>
      <c r="L9" s="4" t="n">
        <v>41.75</v>
      </c>
      <c r="M9" s="4" t="n">
        <v>41.75</v>
      </c>
      <c r="N9" s="4" t="n">
        <v>41.75</v>
      </c>
    </row>
    <row r="10">
      <c r="A10" s="9" t="n">
        <v>1300</v>
      </c>
      <c r="B10" s="4" t="n">
        <v>34.95</v>
      </c>
      <c r="C10" s="4" t="n">
        <v>35.31</v>
      </c>
      <c r="D10" s="4" t="n">
        <v>35.31</v>
      </c>
      <c r="E10" s="4" t="n">
        <v>38.18</v>
      </c>
      <c r="F10" s="4" t="n">
        <v>38.18</v>
      </c>
      <c r="G10" s="4" t="n">
        <v>38.54</v>
      </c>
      <c r="H10" s="4" t="n">
        <v>38.54</v>
      </c>
      <c r="I10" s="4" t="n">
        <v>38.54</v>
      </c>
      <c r="J10" s="4" t="n">
        <v>38.54</v>
      </c>
      <c r="K10" s="4" t="n">
        <v>41.27</v>
      </c>
      <c r="L10" s="4" t="n">
        <v>41.27</v>
      </c>
      <c r="M10" s="4" t="n">
        <v>41.27</v>
      </c>
      <c r="N10" s="4" t="n">
        <v>41.27</v>
      </c>
    </row>
    <row r="11">
      <c r="A11" s="9" t="n">
        <v>1400</v>
      </c>
      <c r="B11" s="4" t="n">
        <v>35.21</v>
      </c>
      <c r="C11" s="4" t="n">
        <v>35.57</v>
      </c>
      <c r="D11" s="4" t="n">
        <v>35.57</v>
      </c>
      <c r="E11" s="4" t="n">
        <v>38.44</v>
      </c>
      <c r="F11" s="4" t="n">
        <v>38.44</v>
      </c>
      <c r="G11" s="4" t="n">
        <v>38.8</v>
      </c>
      <c r="H11" s="4" t="n">
        <v>38.8</v>
      </c>
      <c r="I11" s="4" t="n">
        <v>38.8</v>
      </c>
      <c r="J11" s="4" t="n">
        <v>38.8</v>
      </c>
      <c r="K11" s="4" t="n">
        <v>41.53</v>
      </c>
      <c r="L11" s="4" t="n">
        <v>41.53</v>
      </c>
      <c r="M11" s="4" t="n">
        <v>41.53</v>
      </c>
      <c r="N11" s="4" t="n">
        <v>41.53</v>
      </c>
    </row>
    <row r="12">
      <c r="A12" s="9" t="n">
        <v>1500</v>
      </c>
      <c r="B12" s="4" t="n">
        <v>36.75</v>
      </c>
      <c r="C12" s="4" t="n">
        <v>37.11</v>
      </c>
      <c r="D12" s="4" t="n">
        <v>37.11</v>
      </c>
      <c r="E12" s="4" t="n">
        <v>39.98</v>
      </c>
      <c r="F12" s="4" t="n">
        <v>39.98</v>
      </c>
      <c r="G12" s="4" t="n">
        <v>40.34</v>
      </c>
      <c r="H12" s="4" t="n">
        <v>40.34</v>
      </c>
      <c r="I12" s="4" t="n">
        <v>40.34</v>
      </c>
      <c r="J12" s="4" t="n">
        <v>40.34</v>
      </c>
      <c r="K12" s="4" t="n">
        <v>43.07</v>
      </c>
      <c r="L12" s="4" t="n">
        <v>43.07</v>
      </c>
      <c r="M12" s="4" t="n">
        <v>43.07</v>
      </c>
      <c r="N12" s="4" t="n">
        <v>43.07</v>
      </c>
    </row>
    <row r="13">
      <c r="A13" s="9" t="n">
        <v>1600</v>
      </c>
      <c r="B13" s="4" t="n">
        <v>36.9</v>
      </c>
      <c r="C13" s="4" t="n">
        <v>37.26</v>
      </c>
      <c r="D13" s="4" t="n">
        <v>37.26</v>
      </c>
      <c r="E13" s="4" t="n">
        <v>40.13</v>
      </c>
      <c r="F13" s="4" t="n">
        <v>40.13</v>
      </c>
      <c r="G13" s="4" t="n">
        <v>40.49</v>
      </c>
      <c r="H13" s="4" t="n">
        <v>40.49</v>
      </c>
      <c r="I13" s="4" t="n">
        <v>40.49</v>
      </c>
      <c r="J13" s="4" t="n">
        <v>40.49</v>
      </c>
      <c r="K13" s="4" t="n">
        <v>43.22</v>
      </c>
      <c r="L13" s="4" t="n">
        <v>43.22</v>
      </c>
      <c r="M13" s="4" t="n">
        <v>43.22</v>
      </c>
      <c r="N13" s="4" t="n">
        <v>43.22</v>
      </c>
    </row>
    <row r="14">
      <c r="A14" s="9" t="n">
        <v>1700</v>
      </c>
      <c r="B14" s="4" t="n">
        <v>37.17</v>
      </c>
      <c r="C14" s="4" t="n">
        <v>37.53</v>
      </c>
      <c r="D14" s="4" t="n">
        <v>37.53</v>
      </c>
      <c r="E14" s="4" t="n">
        <v>40.4</v>
      </c>
      <c r="F14" s="4" t="n">
        <v>40.4</v>
      </c>
      <c r="G14" s="4" t="n">
        <v>40.76</v>
      </c>
      <c r="H14" s="4" t="n">
        <v>40.76</v>
      </c>
      <c r="I14" s="4" t="n">
        <v>40.76</v>
      </c>
      <c r="J14" s="4" t="n">
        <v>40.76</v>
      </c>
      <c r="K14" s="4" t="n">
        <v>43.49</v>
      </c>
      <c r="L14" s="4" t="n">
        <v>43.49</v>
      </c>
      <c r="M14" s="4" t="n">
        <v>43.49</v>
      </c>
      <c r="N14" s="4" t="n">
        <v>43.49</v>
      </c>
    </row>
    <row r="15">
      <c r="A15" s="9" t="n">
        <v>1800</v>
      </c>
      <c r="B15" s="4" t="n">
        <v>37.79</v>
      </c>
      <c r="C15" s="4" t="n">
        <v>38.15</v>
      </c>
      <c r="D15" s="4" t="n">
        <v>38.15</v>
      </c>
      <c r="E15" s="4" t="n">
        <v>41.02</v>
      </c>
      <c r="F15" s="4" t="n">
        <v>41.02</v>
      </c>
      <c r="G15" s="4" t="n">
        <v>41.38</v>
      </c>
      <c r="H15" s="4" t="n">
        <v>41.38</v>
      </c>
      <c r="I15" s="4" t="n">
        <v>41.38</v>
      </c>
      <c r="J15" s="4" t="n">
        <v>41.38</v>
      </c>
      <c r="K15" s="4" t="n">
        <v>44.11</v>
      </c>
      <c r="L15" s="4" t="n">
        <v>44.11</v>
      </c>
      <c r="M15" s="4" t="n">
        <v>44.11</v>
      </c>
      <c r="N15" s="4" t="n">
        <v>44.11</v>
      </c>
    </row>
    <row r="16">
      <c r="A16" s="9" t="n">
        <v>1900</v>
      </c>
      <c r="B16" s="4" t="n">
        <v>37.79</v>
      </c>
      <c r="C16" s="4" t="n">
        <v>38.15</v>
      </c>
      <c r="D16" s="4" t="n">
        <v>38.15</v>
      </c>
      <c r="E16" s="4" t="n">
        <v>41.02</v>
      </c>
      <c r="F16" s="4" t="n">
        <v>41.02</v>
      </c>
      <c r="G16" s="4" t="n">
        <v>41.38</v>
      </c>
      <c r="H16" s="4" t="n">
        <v>41.38</v>
      </c>
      <c r="I16" s="4" t="n">
        <v>41.38</v>
      </c>
      <c r="J16" s="4" t="n">
        <v>41.38</v>
      </c>
      <c r="K16" s="4" t="n">
        <v>44.11</v>
      </c>
      <c r="L16" s="4" t="n">
        <v>44.11</v>
      </c>
      <c r="M16" s="4" t="n">
        <v>44.11</v>
      </c>
      <c r="N16" s="4" t="n">
        <v>44.11</v>
      </c>
    </row>
    <row r="17">
      <c r="A17" s="9" t="n">
        <v>2000</v>
      </c>
      <c r="B17" s="4" t="n">
        <v>37.79</v>
      </c>
      <c r="C17" s="4" t="n">
        <v>38.15</v>
      </c>
      <c r="D17" s="4" t="n">
        <v>38.15</v>
      </c>
      <c r="E17" s="4" t="n">
        <v>41.02</v>
      </c>
      <c r="F17" s="4" t="n">
        <v>41.02</v>
      </c>
      <c r="G17" s="4" t="n">
        <v>41.38</v>
      </c>
      <c r="H17" s="4" t="n">
        <v>41.38</v>
      </c>
      <c r="I17" s="4" t="n">
        <v>41.38</v>
      </c>
      <c r="J17" s="4" t="n">
        <v>41.38</v>
      </c>
      <c r="K17" s="4" t="n">
        <v>44.11</v>
      </c>
      <c r="L17" s="4" t="n">
        <v>44.11</v>
      </c>
      <c r="M17" s="4" t="n">
        <v>44.11</v>
      </c>
      <c r="N17" s="4" t="n">
        <v>44.11</v>
      </c>
    </row>
    <row r="20">
      <c r="A20" s="5" t="inlineStr">
        <is>
          <t>Costo ferramenta Maico per misura (kit da regole WinPlus + voci fisse del foglio Ferramenta). Valori, non formule: rigenerare con genera_listini.py.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2026-09-14T21:29:12Z</dcterms:created>
  <dcterms:modified xsi:type="dcterms:W3CDTF">2026-09-14T21:29:12Z</dcterms:modified>
</cp:coreProperties>
</file>