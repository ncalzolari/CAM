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LISTINO — PORTAFINESTRA 2 ANTE (PB275) — C75S SENZA VETRO — RAL 7016 (costo +213%)</t>
        </is>
      </c>
    </row>
    <row r="2">
      <c r="A2" s="2" t="inlineStr">
        <is>
          <t>H/L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  <c r="I2" s="3" t="n">
        <v>1500</v>
      </c>
      <c r="J2" s="3" t="n">
        <v>1600</v>
      </c>
      <c r="K2" s="3" t="n">
        <v>1700</v>
      </c>
      <c r="L2" s="3" t="n">
        <v>1800</v>
      </c>
    </row>
    <row r="3">
      <c r="A3" s="2" t="n">
        <v>1900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</row>
    <row r="4">
      <c r="A4" s="2" t="n">
        <v>2000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</row>
    <row r="5">
      <c r="A5" s="2" t="n">
        <v>2100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</row>
    <row r="6">
      <c r="A6" s="2" t="n">
        <v>2200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</row>
    <row r="7">
      <c r="A7" s="2" t="n">
        <v>2300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</row>
    <row r="8">
      <c r="A8" s="2" t="n">
        <v>2400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</row>
    <row r="9">
      <c r="A9" s="2" t="n">
        <v>2500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</row>
    <row r="10">
      <c r="A10" s="2" t="n">
        <v>2600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</row>
    <row r="11">
      <c r="A11" s="2" t="n">
        <v>2700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</row>
    <row r="14">
      <c r="A14" s="1" t="inlineStr">
        <is>
          <t>COSTO SERRAMENTO (materiale scontato + sfrido + manodopera)</t>
        </is>
      </c>
    </row>
    <row r="15">
      <c r="A15" s="2" t="inlineStr">
        <is>
          <t>H/L</t>
        </is>
      </c>
      <c r="B15" s="3" t="n">
        <v>800</v>
      </c>
      <c r="C15" s="3" t="n">
        <v>900</v>
      </c>
      <c r="D15" s="3" t="n">
        <v>1000</v>
      </c>
      <c r="E15" s="3" t="n">
        <v>1100</v>
      </c>
      <c r="F15" s="3" t="n">
        <v>1200</v>
      </c>
      <c r="G15" s="3" t="n">
        <v>1300</v>
      </c>
      <c r="H15" s="3" t="n">
        <v>1400</v>
      </c>
      <c r="I15" s="3" t="n">
        <v>1500</v>
      </c>
      <c r="J15" s="3" t="n">
        <v>1600</v>
      </c>
      <c r="K15" s="3" t="n">
        <v>1700</v>
      </c>
      <c r="L15" s="3" t="n">
        <v>1800</v>
      </c>
    </row>
    <row r="16">
      <c r="A16" s="2" t="n">
        <v>1900</v>
      </c>
      <c r="B16" s="4">
        <f>ROUND((((Coefficienti!$B$1+Coefficienti!$B$2*B$15+Coefficienti!$B$3*$A16)*Parametri!$B$1+(Coefficienti!$B$4+Coefficienti!$B$5*B$15+Coefficienti!$B$6*$A16)*Parametri!$B$2)*(1-Parametri!$B$3)+((Coefficienti!$B$7+Coefficienti!$B$8*B$15+Coefficienti!$B$9*$A16)+Coefficienti!$B$10)*(1-Parametri!$B$4))*(1+Parametri!$B$5)+FerrGriglia!B2+Coefficienti!$B$11*Parametri!$B$6,2)</f>
        <v/>
      </c>
      <c r="C16" s="4">
        <f>ROUND((((Coefficienti!$B$1+Coefficienti!$B$2*C$15+Coefficienti!$B$3*$A16)*Parametri!$B$1+(Coefficienti!$B$4+Coefficienti!$B$5*C$15+Coefficienti!$B$6*$A16)*Parametri!$B$2)*(1-Parametri!$B$3)+((Coefficienti!$B$7+Coefficienti!$B$8*C$15+Coefficienti!$B$9*$A16)+Coefficienti!$B$10)*(1-Parametri!$B$4))*(1+Parametri!$B$5)+FerrGriglia!C2+Coefficienti!$B$11*Parametri!$B$6,2)</f>
        <v/>
      </c>
      <c r="D16" s="4">
        <f>ROUND((((Coefficienti!$B$1+Coefficienti!$B$2*D$15+Coefficienti!$B$3*$A16)*Parametri!$B$1+(Coefficienti!$B$4+Coefficienti!$B$5*D$15+Coefficienti!$B$6*$A16)*Parametri!$B$2)*(1-Parametri!$B$3)+((Coefficienti!$B$7+Coefficienti!$B$8*D$15+Coefficienti!$B$9*$A16)+Coefficienti!$B$10)*(1-Parametri!$B$4))*(1+Parametri!$B$5)+FerrGriglia!D2+Coefficienti!$B$11*Parametri!$B$6,2)</f>
        <v/>
      </c>
      <c r="E16" s="4">
        <f>ROUND((((Coefficienti!$B$1+Coefficienti!$B$2*E$15+Coefficienti!$B$3*$A16)*Parametri!$B$1+(Coefficienti!$B$4+Coefficienti!$B$5*E$15+Coefficienti!$B$6*$A16)*Parametri!$B$2)*(1-Parametri!$B$3)+((Coefficienti!$B$7+Coefficienti!$B$8*E$15+Coefficienti!$B$9*$A16)+Coefficienti!$B$10)*(1-Parametri!$B$4))*(1+Parametri!$B$5)+FerrGriglia!E2+Coefficienti!$B$11*Parametri!$B$6,2)</f>
        <v/>
      </c>
      <c r="F16" s="4">
        <f>ROUND((((Coefficienti!$B$1+Coefficienti!$B$2*F$15+Coefficienti!$B$3*$A16)*Parametri!$B$1+(Coefficienti!$B$4+Coefficienti!$B$5*F$15+Coefficienti!$B$6*$A16)*Parametri!$B$2)*(1-Parametri!$B$3)+((Coefficienti!$B$7+Coefficienti!$B$8*F$15+Coefficienti!$B$9*$A16)+Coefficienti!$B$10)*(1-Parametri!$B$4))*(1+Parametri!$B$5)+FerrGriglia!F2+Coefficienti!$B$11*Parametri!$B$6,2)</f>
        <v/>
      </c>
      <c r="G16" s="4">
        <f>ROUND((((Coefficienti!$B$1+Coefficienti!$B$2*G$15+Coefficienti!$B$3*$A16)*Parametri!$B$1+(Coefficienti!$B$4+Coefficienti!$B$5*G$15+Coefficienti!$B$6*$A16)*Parametri!$B$2)*(1-Parametri!$B$3)+((Coefficienti!$B$7+Coefficienti!$B$8*G$15+Coefficienti!$B$9*$A16)+Coefficienti!$B$10)*(1-Parametri!$B$4))*(1+Parametri!$B$5)+FerrGriglia!G2+Coefficienti!$B$11*Parametri!$B$6,2)</f>
        <v/>
      </c>
      <c r="H16" s="4">
        <f>ROUND((((Coefficienti!$B$1+Coefficienti!$B$2*H$15+Coefficienti!$B$3*$A16)*Parametri!$B$1+(Coefficienti!$B$4+Coefficienti!$B$5*H$15+Coefficienti!$B$6*$A16)*Parametri!$B$2)*(1-Parametri!$B$3)+((Coefficienti!$B$7+Coefficienti!$B$8*H$15+Coefficienti!$B$9*$A16)+Coefficienti!$B$10)*(1-Parametri!$B$4))*(1+Parametri!$B$5)+FerrGriglia!H2+Coefficienti!$B$11*Parametri!$B$6,2)</f>
        <v/>
      </c>
      <c r="I16" s="4">
        <f>ROUND((((Coefficienti!$B$1+Coefficienti!$B$2*I$15+Coefficienti!$B$3*$A16)*Parametri!$B$1+(Coefficienti!$B$4+Coefficienti!$B$5*I$15+Coefficienti!$B$6*$A16)*Parametri!$B$2)*(1-Parametri!$B$3)+((Coefficienti!$B$7+Coefficienti!$B$8*I$15+Coefficienti!$B$9*$A16)+Coefficienti!$B$10)*(1-Parametri!$B$4))*(1+Parametri!$B$5)+FerrGriglia!I2+Coefficienti!$B$11*Parametri!$B$6,2)</f>
        <v/>
      </c>
      <c r="J16" s="4">
        <f>ROUND((((Coefficienti!$B$1+Coefficienti!$B$2*J$15+Coefficienti!$B$3*$A16)*Parametri!$B$1+(Coefficienti!$B$4+Coefficienti!$B$5*J$15+Coefficienti!$B$6*$A16)*Parametri!$B$2)*(1-Parametri!$B$3)+((Coefficienti!$B$7+Coefficienti!$B$8*J$15+Coefficienti!$B$9*$A16)+Coefficienti!$B$10)*(1-Parametri!$B$4))*(1+Parametri!$B$5)+FerrGriglia!J2+Coefficienti!$B$11*Parametri!$B$6,2)</f>
        <v/>
      </c>
      <c r="K16" s="4">
        <f>ROUND((((Coefficienti!$B$1+Coefficienti!$B$2*K$15+Coefficienti!$B$3*$A16)*Parametri!$B$1+(Coefficienti!$B$4+Coefficienti!$B$5*K$15+Coefficienti!$B$6*$A16)*Parametri!$B$2)*(1-Parametri!$B$3)+((Coefficienti!$B$7+Coefficienti!$B$8*K$15+Coefficienti!$B$9*$A16)+Coefficienti!$B$10)*(1-Parametri!$B$4))*(1+Parametri!$B$5)+FerrGriglia!K2+Coefficienti!$B$11*Parametri!$B$6,2)</f>
        <v/>
      </c>
      <c r="L16" s="4">
        <f>ROUND((((Coefficienti!$B$1+Coefficienti!$B$2*L$15+Coefficienti!$B$3*$A16)*Parametri!$B$1+(Coefficienti!$B$4+Coefficienti!$B$5*L$15+Coefficienti!$B$6*$A16)*Parametri!$B$2)*(1-Parametri!$B$3)+((Coefficienti!$B$7+Coefficienti!$B$8*L$15+Coefficienti!$B$9*$A16)+Coefficienti!$B$10)*(1-Parametri!$B$4))*(1+Parametri!$B$5)+FerrGriglia!L2+Coefficienti!$B$11*Parametri!$B$6,2)</f>
        <v/>
      </c>
    </row>
    <row r="17">
      <c r="A17" s="2" t="n">
        <v>2000</v>
      </c>
      <c r="B17" s="4">
        <f>ROUND((((Coefficienti!$B$1+Coefficienti!$B$2*B$15+Coefficienti!$B$3*$A17)*Parametri!$B$1+(Coefficienti!$B$4+Coefficienti!$B$5*B$15+Coefficienti!$B$6*$A17)*Parametri!$B$2)*(1-Parametri!$B$3)+((Coefficienti!$B$7+Coefficienti!$B$8*B$15+Coefficienti!$B$9*$A17)+Coefficienti!$B$10)*(1-Parametri!$B$4))*(1+Parametri!$B$5)+FerrGriglia!B3+Coefficienti!$B$11*Parametri!$B$6,2)</f>
        <v/>
      </c>
      <c r="C17" s="4">
        <f>ROUND((((Coefficienti!$B$1+Coefficienti!$B$2*C$15+Coefficienti!$B$3*$A17)*Parametri!$B$1+(Coefficienti!$B$4+Coefficienti!$B$5*C$15+Coefficienti!$B$6*$A17)*Parametri!$B$2)*(1-Parametri!$B$3)+((Coefficienti!$B$7+Coefficienti!$B$8*C$15+Coefficienti!$B$9*$A17)+Coefficienti!$B$10)*(1-Parametri!$B$4))*(1+Parametri!$B$5)+FerrGriglia!C3+Coefficienti!$B$11*Parametri!$B$6,2)</f>
        <v/>
      </c>
      <c r="D17" s="4">
        <f>ROUND((((Coefficienti!$B$1+Coefficienti!$B$2*D$15+Coefficienti!$B$3*$A17)*Parametri!$B$1+(Coefficienti!$B$4+Coefficienti!$B$5*D$15+Coefficienti!$B$6*$A17)*Parametri!$B$2)*(1-Parametri!$B$3)+((Coefficienti!$B$7+Coefficienti!$B$8*D$15+Coefficienti!$B$9*$A17)+Coefficienti!$B$10)*(1-Parametri!$B$4))*(1+Parametri!$B$5)+FerrGriglia!D3+Coefficienti!$B$11*Parametri!$B$6,2)</f>
        <v/>
      </c>
      <c r="E17" s="4">
        <f>ROUND((((Coefficienti!$B$1+Coefficienti!$B$2*E$15+Coefficienti!$B$3*$A17)*Parametri!$B$1+(Coefficienti!$B$4+Coefficienti!$B$5*E$15+Coefficienti!$B$6*$A17)*Parametri!$B$2)*(1-Parametri!$B$3)+((Coefficienti!$B$7+Coefficienti!$B$8*E$15+Coefficienti!$B$9*$A17)+Coefficienti!$B$10)*(1-Parametri!$B$4))*(1+Parametri!$B$5)+FerrGriglia!E3+Coefficienti!$B$11*Parametri!$B$6,2)</f>
        <v/>
      </c>
      <c r="F17" s="4">
        <f>ROUND((((Coefficienti!$B$1+Coefficienti!$B$2*F$15+Coefficienti!$B$3*$A17)*Parametri!$B$1+(Coefficienti!$B$4+Coefficienti!$B$5*F$15+Coefficienti!$B$6*$A17)*Parametri!$B$2)*(1-Parametri!$B$3)+((Coefficienti!$B$7+Coefficienti!$B$8*F$15+Coefficienti!$B$9*$A17)+Coefficienti!$B$10)*(1-Parametri!$B$4))*(1+Parametri!$B$5)+FerrGriglia!F3+Coefficienti!$B$11*Parametri!$B$6,2)</f>
        <v/>
      </c>
      <c r="G17" s="4">
        <f>ROUND((((Coefficienti!$B$1+Coefficienti!$B$2*G$15+Coefficienti!$B$3*$A17)*Parametri!$B$1+(Coefficienti!$B$4+Coefficienti!$B$5*G$15+Coefficienti!$B$6*$A17)*Parametri!$B$2)*(1-Parametri!$B$3)+((Coefficienti!$B$7+Coefficienti!$B$8*G$15+Coefficienti!$B$9*$A17)+Coefficienti!$B$10)*(1-Parametri!$B$4))*(1+Parametri!$B$5)+FerrGriglia!G3+Coefficienti!$B$11*Parametri!$B$6,2)</f>
        <v/>
      </c>
      <c r="H17" s="4">
        <f>ROUND((((Coefficienti!$B$1+Coefficienti!$B$2*H$15+Coefficienti!$B$3*$A17)*Parametri!$B$1+(Coefficienti!$B$4+Coefficienti!$B$5*H$15+Coefficienti!$B$6*$A17)*Parametri!$B$2)*(1-Parametri!$B$3)+((Coefficienti!$B$7+Coefficienti!$B$8*H$15+Coefficienti!$B$9*$A17)+Coefficienti!$B$10)*(1-Parametri!$B$4))*(1+Parametri!$B$5)+FerrGriglia!H3+Coefficienti!$B$11*Parametri!$B$6,2)</f>
        <v/>
      </c>
      <c r="I17" s="4">
        <f>ROUND((((Coefficienti!$B$1+Coefficienti!$B$2*I$15+Coefficienti!$B$3*$A17)*Parametri!$B$1+(Coefficienti!$B$4+Coefficienti!$B$5*I$15+Coefficienti!$B$6*$A17)*Parametri!$B$2)*(1-Parametri!$B$3)+((Coefficienti!$B$7+Coefficienti!$B$8*I$15+Coefficienti!$B$9*$A17)+Coefficienti!$B$10)*(1-Parametri!$B$4))*(1+Parametri!$B$5)+FerrGriglia!I3+Coefficienti!$B$11*Parametri!$B$6,2)</f>
        <v/>
      </c>
      <c r="J17" s="4">
        <f>ROUND((((Coefficienti!$B$1+Coefficienti!$B$2*J$15+Coefficienti!$B$3*$A17)*Parametri!$B$1+(Coefficienti!$B$4+Coefficienti!$B$5*J$15+Coefficienti!$B$6*$A17)*Parametri!$B$2)*(1-Parametri!$B$3)+((Coefficienti!$B$7+Coefficienti!$B$8*J$15+Coefficienti!$B$9*$A17)+Coefficienti!$B$10)*(1-Parametri!$B$4))*(1+Parametri!$B$5)+FerrGriglia!J3+Coefficienti!$B$11*Parametri!$B$6,2)</f>
        <v/>
      </c>
      <c r="K17" s="4">
        <f>ROUND((((Coefficienti!$B$1+Coefficienti!$B$2*K$15+Coefficienti!$B$3*$A17)*Parametri!$B$1+(Coefficienti!$B$4+Coefficienti!$B$5*K$15+Coefficienti!$B$6*$A17)*Parametri!$B$2)*(1-Parametri!$B$3)+((Coefficienti!$B$7+Coefficienti!$B$8*K$15+Coefficienti!$B$9*$A17)+Coefficienti!$B$10)*(1-Parametri!$B$4))*(1+Parametri!$B$5)+FerrGriglia!K3+Coefficienti!$B$11*Parametri!$B$6,2)</f>
        <v/>
      </c>
      <c r="L17" s="4">
        <f>ROUND((((Coefficienti!$B$1+Coefficienti!$B$2*L$15+Coefficienti!$B$3*$A17)*Parametri!$B$1+(Coefficienti!$B$4+Coefficienti!$B$5*L$15+Coefficienti!$B$6*$A17)*Parametri!$B$2)*(1-Parametri!$B$3)+((Coefficienti!$B$7+Coefficienti!$B$8*L$15+Coefficienti!$B$9*$A17)+Coefficienti!$B$10)*(1-Parametri!$B$4))*(1+Parametri!$B$5)+FerrGriglia!L3+Coefficienti!$B$11*Parametri!$B$6,2)</f>
        <v/>
      </c>
    </row>
    <row r="18">
      <c r="A18" s="2" t="n">
        <v>2100</v>
      </c>
      <c r="B18" s="4">
        <f>ROUND((((Coefficienti!$B$1+Coefficienti!$B$2*B$15+Coefficienti!$B$3*$A18)*Parametri!$B$1+(Coefficienti!$B$4+Coefficienti!$B$5*B$15+Coefficienti!$B$6*$A18)*Parametri!$B$2)*(1-Parametri!$B$3)+((Coefficienti!$B$7+Coefficienti!$B$8*B$15+Coefficienti!$B$9*$A18)+Coefficienti!$B$10)*(1-Parametri!$B$4))*(1+Parametri!$B$5)+FerrGriglia!B4+Coefficienti!$B$11*Parametri!$B$6,2)</f>
        <v/>
      </c>
      <c r="C18" s="4">
        <f>ROUND((((Coefficienti!$B$1+Coefficienti!$B$2*C$15+Coefficienti!$B$3*$A18)*Parametri!$B$1+(Coefficienti!$B$4+Coefficienti!$B$5*C$15+Coefficienti!$B$6*$A18)*Parametri!$B$2)*(1-Parametri!$B$3)+((Coefficienti!$B$7+Coefficienti!$B$8*C$15+Coefficienti!$B$9*$A18)+Coefficienti!$B$10)*(1-Parametri!$B$4))*(1+Parametri!$B$5)+FerrGriglia!C4+Coefficienti!$B$11*Parametri!$B$6,2)</f>
        <v/>
      </c>
      <c r="D18" s="4">
        <f>ROUND((((Coefficienti!$B$1+Coefficienti!$B$2*D$15+Coefficienti!$B$3*$A18)*Parametri!$B$1+(Coefficienti!$B$4+Coefficienti!$B$5*D$15+Coefficienti!$B$6*$A18)*Parametri!$B$2)*(1-Parametri!$B$3)+((Coefficienti!$B$7+Coefficienti!$B$8*D$15+Coefficienti!$B$9*$A18)+Coefficienti!$B$10)*(1-Parametri!$B$4))*(1+Parametri!$B$5)+FerrGriglia!D4+Coefficienti!$B$11*Parametri!$B$6,2)</f>
        <v/>
      </c>
      <c r="E18" s="4">
        <f>ROUND((((Coefficienti!$B$1+Coefficienti!$B$2*E$15+Coefficienti!$B$3*$A18)*Parametri!$B$1+(Coefficienti!$B$4+Coefficienti!$B$5*E$15+Coefficienti!$B$6*$A18)*Parametri!$B$2)*(1-Parametri!$B$3)+((Coefficienti!$B$7+Coefficienti!$B$8*E$15+Coefficienti!$B$9*$A18)+Coefficienti!$B$10)*(1-Parametri!$B$4))*(1+Parametri!$B$5)+FerrGriglia!E4+Coefficienti!$B$11*Parametri!$B$6,2)</f>
        <v/>
      </c>
      <c r="F18" s="4">
        <f>ROUND((((Coefficienti!$B$1+Coefficienti!$B$2*F$15+Coefficienti!$B$3*$A18)*Parametri!$B$1+(Coefficienti!$B$4+Coefficienti!$B$5*F$15+Coefficienti!$B$6*$A18)*Parametri!$B$2)*(1-Parametri!$B$3)+((Coefficienti!$B$7+Coefficienti!$B$8*F$15+Coefficienti!$B$9*$A18)+Coefficienti!$B$10)*(1-Parametri!$B$4))*(1+Parametri!$B$5)+FerrGriglia!F4+Coefficienti!$B$11*Parametri!$B$6,2)</f>
        <v/>
      </c>
      <c r="G18" s="4">
        <f>ROUND((((Coefficienti!$B$1+Coefficienti!$B$2*G$15+Coefficienti!$B$3*$A18)*Parametri!$B$1+(Coefficienti!$B$4+Coefficienti!$B$5*G$15+Coefficienti!$B$6*$A18)*Parametri!$B$2)*(1-Parametri!$B$3)+((Coefficienti!$B$7+Coefficienti!$B$8*G$15+Coefficienti!$B$9*$A18)+Coefficienti!$B$10)*(1-Parametri!$B$4))*(1+Parametri!$B$5)+FerrGriglia!G4+Coefficienti!$B$11*Parametri!$B$6,2)</f>
        <v/>
      </c>
      <c r="H18" s="4">
        <f>ROUND((((Coefficienti!$B$1+Coefficienti!$B$2*H$15+Coefficienti!$B$3*$A18)*Parametri!$B$1+(Coefficienti!$B$4+Coefficienti!$B$5*H$15+Coefficienti!$B$6*$A18)*Parametri!$B$2)*(1-Parametri!$B$3)+((Coefficienti!$B$7+Coefficienti!$B$8*H$15+Coefficienti!$B$9*$A18)+Coefficienti!$B$10)*(1-Parametri!$B$4))*(1+Parametri!$B$5)+FerrGriglia!H4+Coefficienti!$B$11*Parametri!$B$6,2)</f>
        <v/>
      </c>
      <c r="I18" s="4">
        <f>ROUND((((Coefficienti!$B$1+Coefficienti!$B$2*I$15+Coefficienti!$B$3*$A18)*Parametri!$B$1+(Coefficienti!$B$4+Coefficienti!$B$5*I$15+Coefficienti!$B$6*$A18)*Parametri!$B$2)*(1-Parametri!$B$3)+((Coefficienti!$B$7+Coefficienti!$B$8*I$15+Coefficienti!$B$9*$A18)+Coefficienti!$B$10)*(1-Parametri!$B$4))*(1+Parametri!$B$5)+FerrGriglia!I4+Coefficienti!$B$11*Parametri!$B$6,2)</f>
        <v/>
      </c>
      <c r="J18" s="4">
        <f>ROUND((((Coefficienti!$B$1+Coefficienti!$B$2*J$15+Coefficienti!$B$3*$A18)*Parametri!$B$1+(Coefficienti!$B$4+Coefficienti!$B$5*J$15+Coefficienti!$B$6*$A18)*Parametri!$B$2)*(1-Parametri!$B$3)+((Coefficienti!$B$7+Coefficienti!$B$8*J$15+Coefficienti!$B$9*$A18)+Coefficienti!$B$10)*(1-Parametri!$B$4))*(1+Parametri!$B$5)+FerrGriglia!J4+Coefficienti!$B$11*Parametri!$B$6,2)</f>
        <v/>
      </c>
      <c r="K18" s="4">
        <f>ROUND((((Coefficienti!$B$1+Coefficienti!$B$2*K$15+Coefficienti!$B$3*$A18)*Parametri!$B$1+(Coefficienti!$B$4+Coefficienti!$B$5*K$15+Coefficienti!$B$6*$A18)*Parametri!$B$2)*(1-Parametri!$B$3)+((Coefficienti!$B$7+Coefficienti!$B$8*K$15+Coefficienti!$B$9*$A18)+Coefficienti!$B$10)*(1-Parametri!$B$4))*(1+Parametri!$B$5)+FerrGriglia!K4+Coefficienti!$B$11*Parametri!$B$6,2)</f>
        <v/>
      </c>
      <c r="L18" s="4">
        <f>ROUND((((Coefficienti!$B$1+Coefficienti!$B$2*L$15+Coefficienti!$B$3*$A18)*Parametri!$B$1+(Coefficienti!$B$4+Coefficienti!$B$5*L$15+Coefficienti!$B$6*$A18)*Parametri!$B$2)*(1-Parametri!$B$3)+((Coefficienti!$B$7+Coefficienti!$B$8*L$15+Coefficienti!$B$9*$A18)+Coefficienti!$B$10)*(1-Parametri!$B$4))*(1+Parametri!$B$5)+FerrGriglia!L4+Coefficienti!$B$11*Parametri!$B$6,2)</f>
        <v/>
      </c>
    </row>
    <row r="19">
      <c r="A19" s="2" t="n">
        <v>2200</v>
      </c>
      <c r="B19" s="4">
        <f>ROUND((((Coefficienti!$B$1+Coefficienti!$B$2*B$15+Coefficienti!$B$3*$A19)*Parametri!$B$1+(Coefficienti!$B$4+Coefficienti!$B$5*B$15+Coefficienti!$B$6*$A19)*Parametri!$B$2)*(1-Parametri!$B$3)+((Coefficienti!$B$7+Coefficienti!$B$8*B$15+Coefficienti!$B$9*$A19)+Coefficienti!$B$10)*(1-Parametri!$B$4))*(1+Parametri!$B$5)+FerrGriglia!B5+Coefficienti!$B$11*Parametri!$B$6,2)</f>
        <v/>
      </c>
      <c r="C19" s="4">
        <f>ROUND((((Coefficienti!$B$1+Coefficienti!$B$2*C$15+Coefficienti!$B$3*$A19)*Parametri!$B$1+(Coefficienti!$B$4+Coefficienti!$B$5*C$15+Coefficienti!$B$6*$A19)*Parametri!$B$2)*(1-Parametri!$B$3)+((Coefficienti!$B$7+Coefficienti!$B$8*C$15+Coefficienti!$B$9*$A19)+Coefficienti!$B$10)*(1-Parametri!$B$4))*(1+Parametri!$B$5)+FerrGriglia!C5+Coefficienti!$B$11*Parametri!$B$6,2)</f>
        <v/>
      </c>
      <c r="D19" s="4">
        <f>ROUND((((Coefficienti!$B$1+Coefficienti!$B$2*D$15+Coefficienti!$B$3*$A19)*Parametri!$B$1+(Coefficienti!$B$4+Coefficienti!$B$5*D$15+Coefficienti!$B$6*$A19)*Parametri!$B$2)*(1-Parametri!$B$3)+((Coefficienti!$B$7+Coefficienti!$B$8*D$15+Coefficienti!$B$9*$A19)+Coefficienti!$B$10)*(1-Parametri!$B$4))*(1+Parametri!$B$5)+FerrGriglia!D5+Coefficienti!$B$11*Parametri!$B$6,2)</f>
        <v/>
      </c>
      <c r="E19" s="4">
        <f>ROUND((((Coefficienti!$B$1+Coefficienti!$B$2*E$15+Coefficienti!$B$3*$A19)*Parametri!$B$1+(Coefficienti!$B$4+Coefficienti!$B$5*E$15+Coefficienti!$B$6*$A19)*Parametri!$B$2)*(1-Parametri!$B$3)+((Coefficienti!$B$7+Coefficienti!$B$8*E$15+Coefficienti!$B$9*$A19)+Coefficienti!$B$10)*(1-Parametri!$B$4))*(1+Parametri!$B$5)+FerrGriglia!E5+Coefficienti!$B$11*Parametri!$B$6,2)</f>
        <v/>
      </c>
      <c r="F19" s="4">
        <f>ROUND((((Coefficienti!$B$1+Coefficienti!$B$2*F$15+Coefficienti!$B$3*$A19)*Parametri!$B$1+(Coefficienti!$B$4+Coefficienti!$B$5*F$15+Coefficienti!$B$6*$A19)*Parametri!$B$2)*(1-Parametri!$B$3)+((Coefficienti!$B$7+Coefficienti!$B$8*F$15+Coefficienti!$B$9*$A19)+Coefficienti!$B$10)*(1-Parametri!$B$4))*(1+Parametri!$B$5)+FerrGriglia!F5+Coefficienti!$B$11*Parametri!$B$6,2)</f>
        <v/>
      </c>
      <c r="G19" s="4">
        <f>ROUND((((Coefficienti!$B$1+Coefficienti!$B$2*G$15+Coefficienti!$B$3*$A19)*Parametri!$B$1+(Coefficienti!$B$4+Coefficienti!$B$5*G$15+Coefficienti!$B$6*$A19)*Parametri!$B$2)*(1-Parametri!$B$3)+((Coefficienti!$B$7+Coefficienti!$B$8*G$15+Coefficienti!$B$9*$A19)+Coefficienti!$B$10)*(1-Parametri!$B$4))*(1+Parametri!$B$5)+FerrGriglia!G5+Coefficienti!$B$11*Parametri!$B$6,2)</f>
        <v/>
      </c>
      <c r="H19" s="4">
        <f>ROUND((((Coefficienti!$B$1+Coefficienti!$B$2*H$15+Coefficienti!$B$3*$A19)*Parametri!$B$1+(Coefficienti!$B$4+Coefficienti!$B$5*H$15+Coefficienti!$B$6*$A19)*Parametri!$B$2)*(1-Parametri!$B$3)+((Coefficienti!$B$7+Coefficienti!$B$8*H$15+Coefficienti!$B$9*$A19)+Coefficienti!$B$10)*(1-Parametri!$B$4))*(1+Parametri!$B$5)+FerrGriglia!H5+Coefficienti!$B$11*Parametri!$B$6,2)</f>
        <v/>
      </c>
      <c r="I19" s="4">
        <f>ROUND((((Coefficienti!$B$1+Coefficienti!$B$2*I$15+Coefficienti!$B$3*$A19)*Parametri!$B$1+(Coefficienti!$B$4+Coefficienti!$B$5*I$15+Coefficienti!$B$6*$A19)*Parametri!$B$2)*(1-Parametri!$B$3)+((Coefficienti!$B$7+Coefficienti!$B$8*I$15+Coefficienti!$B$9*$A19)+Coefficienti!$B$10)*(1-Parametri!$B$4))*(1+Parametri!$B$5)+FerrGriglia!I5+Coefficienti!$B$11*Parametri!$B$6,2)</f>
        <v/>
      </c>
      <c r="J19" s="4">
        <f>ROUND((((Coefficienti!$B$1+Coefficienti!$B$2*J$15+Coefficienti!$B$3*$A19)*Parametri!$B$1+(Coefficienti!$B$4+Coefficienti!$B$5*J$15+Coefficienti!$B$6*$A19)*Parametri!$B$2)*(1-Parametri!$B$3)+((Coefficienti!$B$7+Coefficienti!$B$8*J$15+Coefficienti!$B$9*$A19)+Coefficienti!$B$10)*(1-Parametri!$B$4))*(1+Parametri!$B$5)+FerrGriglia!J5+Coefficienti!$B$11*Parametri!$B$6,2)</f>
        <v/>
      </c>
      <c r="K19" s="4">
        <f>ROUND((((Coefficienti!$B$1+Coefficienti!$B$2*K$15+Coefficienti!$B$3*$A19)*Parametri!$B$1+(Coefficienti!$B$4+Coefficienti!$B$5*K$15+Coefficienti!$B$6*$A19)*Parametri!$B$2)*(1-Parametri!$B$3)+((Coefficienti!$B$7+Coefficienti!$B$8*K$15+Coefficienti!$B$9*$A19)+Coefficienti!$B$10)*(1-Parametri!$B$4))*(1+Parametri!$B$5)+FerrGriglia!K5+Coefficienti!$B$11*Parametri!$B$6,2)</f>
        <v/>
      </c>
      <c r="L19" s="4">
        <f>ROUND((((Coefficienti!$B$1+Coefficienti!$B$2*L$15+Coefficienti!$B$3*$A19)*Parametri!$B$1+(Coefficienti!$B$4+Coefficienti!$B$5*L$15+Coefficienti!$B$6*$A19)*Parametri!$B$2)*(1-Parametri!$B$3)+((Coefficienti!$B$7+Coefficienti!$B$8*L$15+Coefficienti!$B$9*$A19)+Coefficienti!$B$10)*(1-Parametri!$B$4))*(1+Parametri!$B$5)+FerrGriglia!L5+Coefficienti!$B$11*Parametri!$B$6,2)</f>
        <v/>
      </c>
    </row>
    <row r="20">
      <c r="A20" s="2" t="n">
        <v>2300</v>
      </c>
      <c r="B20" s="4">
        <f>ROUND((((Coefficienti!$B$1+Coefficienti!$B$2*B$15+Coefficienti!$B$3*$A20)*Parametri!$B$1+(Coefficienti!$B$4+Coefficienti!$B$5*B$15+Coefficienti!$B$6*$A20)*Parametri!$B$2)*(1-Parametri!$B$3)+((Coefficienti!$B$7+Coefficienti!$B$8*B$15+Coefficienti!$B$9*$A20)+Coefficienti!$B$10)*(1-Parametri!$B$4))*(1+Parametri!$B$5)+FerrGriglia!B6+Coefficienti!$B$11*Parametri!$B$6,2)</f>
        <v/>
      </c>
      <c r="C20" s="4">
        <f>ROUND((((Coefficienti!$B$1+Coefficienti!$B$2*C$15+Coefficienti!$B$3*$A20)*Parametri!$B$1+(Coefficienti!$B$4+Coefficienti!$B$5*C$15+Coefficienti!$B$6*$A20)*Parametri!$B$2)*(1-Parametri!$B$3)+((Coefficienti!$B$7+Coefficienti!$B$8*C$15+Coefficienti!$B$9*$A20)+Coefficienti!$B$10)*(1-Parametri!$B$4))*(1+Parametri!$B$5)+FerrGriglia!C6+Coefficienti!$B$11*Parametri!$B$6,2)</f>
        <v/>
      </c>
      <c r="D20" s="4">
        <f>ROUND((((Coefficienti!$B$1+Coefficienti!$B$2*D$15+Coefficienti!$B$3*$A20)*Parametri!$B$1+(Coefficienti!$B$4+Coefficienti!$B$5*D$15+Coefficienti!$B$6*$A20)*Parametri!$B$2)*(1-Parametri!$B$3)+((Coefficienti!$B$7+Coefficienti!$B$8*D$15+Coefficienti!$B$9*$A20)+Coefficienti!$B$10)*(1-Parametri!$B$4))*(1+Parametri!$B$5)+FerrGriglia!D6+Coefficienti!$B$11*Parametri!$B$6,2)</f>
        <v/>
      </c>
      <c r="E20" s="4">
        <f>ROUND((((Coefficienti!$B$1+Coefficienti!$B$2*E$15+Coefficienti!$B$3*$A20)*Parametri!$B$1+(Coefficienti!$B$4+Coefficienti!$B$5*E$15+Coefficienti!$B$6*$A20)*Parametri!$B$2)*(1-Parametri!$B$3)+((Coefficienti!$B$7+Coefficienti!$B$8*E$15+Coefficienti!$B$9*$A20)+Coefficienti!$B$10)*(1-Parametri!$B$4))*(1+Parametri!$B$5)+FerrGriglia!E6+Coefficienti!$B$11*Parametri!$B$6,2)</f>
        <v/>
      </c>
      <c r="F20" s="4">
        <f>ROUND((((Coefficienti!$B$1+Coefficienti!$B$2*F$15+Coefficienti!$B$3*$A20)*Parametri!$B$1+(Coefficienti!$B$4+Coefficienti!$B$5*F$15+Coefficienti!$B$6*$A20)*Parametri!$B$2)*(1-Parametri!$B$3)+((Coefficienti!$B$7+Coefficienti!$B$8*F$15+Coefficienti!$B$9*$A20)+Coefficienti!$B$10)*(1-Parametri!$B$4))*(1+Parametri!$B$5)+FerrGriglia!F6+Coefficienti!$B$11*Parametri!$B$6,2)</f>
        <v/>
      </c>
      <c r="G20" s="4">
        <f>ROUND((((Coefficienti!$B$1+Coefficienti!$B$2*G$15+Coefficienti!$B$3*$A20)*Parametri!$B$1+(Coefficienti!$B$4+Coefficienti!$B$5*G$15+Coefficienti!$B$6*$A20)*Parametri!$B$2)*(1-Parametri!$B$3)+((Coefficienti!$B$7+Coefficienti!$B$8*G$15+Coefficienti!$B$9*$A20)+Coefficienti!$B$10)*(1-Parametri!$B$4))*(1+Parametri!$B$5)+FerrGriglia!G6+Coefficienti!$B$11*Parametri!$B$6,2)</f>
        <v/>
      </c>
      <c r="H20" s="4">
        <f>ROUND((((Coefficienti!$B$1+Coefficienti!$B$2*H$15+Coefficienti!$B$3*$A20)*Parametri!$B$1+(Coefficienti!$B$4+Coefficienti!$B$5*H$15+Coefficienti!$B$6*$A20)*Parametri!$B$2)*(1-Parametri!$B$3)+((Coefficienti!$B$7+Coefficienti!$B$8*H$15+Coefficienti!$B$9*$A20)+Coefficienti!$B$10)*(1-Parametri!$B$4))*(1+Parametri!$B$5)+FerrGriglia!H6+Coefficienti!$B$11*Parametri!$B$6,2)</f>
        <v/>
      </c>
      <c r="I20" s="4">
        <f>ROUND((((Coefficienti!$B$1+Coefficienti!$B$2*I$15+Coefficienti!$B$3*$A20)*Parametri!$B$1+(Coefficienti!$B$4+Coefficienti!$B$5*I$15+Coefficienti!$B$6*$A20)*Parametri!$B$2)*(1-Parametri!$B$3)+((Coefficienti!$B$7+Coefficienti!$B$8*I$15+Coefficienti!$B$9*$A20)+Coefficienti!$B$10)*(1-Parametri!$B$4))*(1+Parametri!$B$5)+FerrGriglia!I6+Coefficienti!$B$11*Parametri!$B$6,2)</f>
        <v/>
      </c>
      <c r="J20" s="4">
        <f>ROUND((((Coefficienti!$B$1+Coefficienti!$B$2*J$15+Coefficienti!$B$3*$A20)*Parametri!$B$1+(Coefficienti!$B$4+Coefficienti!$B$5*J$15+Coefficienti!$B$6*$A20)*Parametri!$B$2)*(1-Parametri!$B$3)+((Coefficienti!$B$7+Coefficienti!$B$8*J$15+Coefficienti!$B$9*$A20)+Coefficienti!$B$10)*(1-Parametri!$B$4))*(1+Parametri!$B$5)+FerrGriglia!J6+Coefficienti!$B$11*Parametri!$B$6,2)</f>
        <v/>
      </c>
      <c r="K20" s="4">
        <f>ROUND((((Coefficienti!$B$1+Coefficienti!$B$2*K$15+Coefficienti!$B$3*$A20)*Parametri!$B$1+(Coefficienti!$B$4+Coefficienti!$B$5*K$15+Coefficienti!$B$6*$A20)*Parametri!$B$2)*(1-Parametri!$B$3)+((Coefficienti!$B$7+Coefficienti!$B$8*K$15+Coefficienti!$B$9*$A20)+Coefficienti!$B$10)*(1-Parametri!$B$4))*(1+Parametri!$B$5)+FerrGriglia!K6+Coefficienti!$B$11*Parametri!$B$6,2)</f>
        <v/>
      </c>
      <c r="L20" s="4">
        <f>ROUND((((Coefficienti!$B$1+Coefficienti!$B$2*L$15+Coefficienti!$B$3*$A20)*Parametri!$B$1+(Coefficienti!$B$4+Coefficienti!$B$5*L$15+Coefficienti!$B$6*$A20)*Parametri!$B$2)*(1-Parametri!$B$3)+((Coefficienti!$B$7+Coefficienti!$B$8*L$15+Coefficienti!$B$9*$A20)+Coefficienti!$B$10)*(1-Parametri!$B$4))*(1+Parametri!$B$5)+FerrGriglia!L6+Coefficienti!$B$11*Parametri!$B$6,2)</f>
        <v/>
      </c>
    </row>
    <row r="21">
      <c r="A21" s="2" t="n">
        <v>2400</v>
      </c>
      <c r="B21" s="4">
        <f>ROUND((((Coefficienti!$B$1+Coefficienti!$B$2*B$15+Coefficienti!$B$3*$A21)*Parametri!$B$1+(Coefficienti!$B$4+Coefficienti!$B$5*B$15+Coefficienti!$B$6*$A21)*Parametri!$B$2)*(1-Parametri!$B$3)+((Coefficienti!$B$7+Coefficienti!$B$8*B$15+Coefficienti!$B$9*$A21)+Coefficienti!$B$10)*(1-Parametri!$B$4))*(1+Parametri!$B$5)+FerrGriglia!B7+Coefficienti!$B$11*Parametri!$B$6,2)</f>
        <v/>
      </c>
      <c r="C21" s="4">
        <f>ROUND((((Coefficienti!$B$1+Coefficienti!$B$2*C$15+Coefficienti!$B$3*$A21)*Parametri!$B$1+(Coefficienti!$B$4+Coefficienti!$B$5*C$15+Coefficienti!$B$6*$A21)*Parametri!$B$2)*(1-Parametri!$B$3)+((Coefficienti!$B$7+Coefficienti!$B$8*C$15+Coefficienti!$B$9*$A21)+Coefficienti!$B$10)*(1-Parametri!$B$4))*(1+Parametri!$B$5)+FerrGriglia!C7+Coefficienti!$B$11*Parametri!$B$6,2)</f>
        <v/>
      </c>
      <c r="D21" s="4">
        <f>ROUND((((Coefficienti!$B$1+Coefficienti!$B$2*D$15+Coefficienti!$B$3*$A21)*Parametri!$B$1+(Coefficienti!$B$4+Coefficienti!$B$5*D$15+Coefficienti!$B$6*$A21)*Parametri!$B$2)*(1-Parametri!$B$3)+((Coefficienti!$B$7+Coefficienti!$B$8*D$15+Coefficienti!$B$9*$A21)+Coefficienti!$B$10)*(1-Parametri!$B$4))*(1+Parametri!$B$5)+FerrGriglia!D7+Coefficienti!$B$11*Parametri!$B$6,2)</f>
        <v/>
      </c>
      <c r="E21" s="4">
        <f>ROUND((((Coefficienti!$B$1+Coefficienti!$B$2*E$15+Coefficienti!$B$3*$A21)*Parametri!$B$1+(Coefficienti!$B$4+Coefficienti!$B$5*E$15+Coefficienti!$B$6*$A21)*Parametri!$B$2)*(1-Parametri!$B$3)+((Coefficienti!$B$7+Coefficienti!$B$8*E$15+Coefficienti!$B$9*$A21)+Coefficienti!$B$10)*(1-Parametri!$B$4))*(1+Parametri!$B$5)+FerrGriglia!E7+Coefficienti!$B$11*Parametri!$B$6,2)</f>
        <v/>
      </c>
      <c r="F21" s="4">
        <f>ROUND((((Coefficienti!$B$1+Coefficienti!$B$2*F$15+Coefficienti!$B$3*$A21)*Parametri!$B$1+(Coefficienti!$B$4+Coefficienti!$B$5*F$15+Coefficienti!$B$6*$A21)*Parametri!$B$2)*(1-Parametri!$B$3)+((Coefficienti!$B$7+Coefficienti!$B$8*F$15+Coefficienti!$B$9*$A21)+Coefficienti!$B$10)*(1-Parametri!$B$4))*(1+Parametri!$B$5)+FerrGriglia!F7+Coefficienti!$B$11*Parametri!$B$6,2)</f>
        <v/>
      </c>
      <c r="G21" s="4">
        <f>ROUND((((Coefficienti!$B$1+Coefficienti!$B$2*G$15+Coefficienti!$B$3*$A21)*Parametri!$B$1+(Coefficienti!$B$4+Coefficienti!$B$5*G$15+Coefficienti!$B$6*$A21)*Parametri!$B$2)*(1-Parametri!$B$3)+((Coefficienti!$B$7+Coefficienti!$B$8*G$15+Coefficienti!$B$9*$A21)+Coefficienti!$B$10)*(1-Parametri!$B$4))*(1+Parametri!$B$5)+FerrGriglia!G7+Coefficienti!$B$11*Parametri!$B$6,2)</f>
        <v/>
      </c>
      <c r="H21" s="4">
        <f>ROUND((((Coefficienti!$B$1+Coefficienti!$B$2*H$15+Coefficienti!$B$3*$A21)*Parametri!$B$1+(Coefficienti!$B$4+Coefficienti!$B$5*H$15+Coefficienti!$B$6*$A21)*Parametri!$B$2)*(1-Parametri!$B$3)+((Coefficienti!$B$7+Coefficienti!$B$8*H$15+Coefficienti!$B$9*$A21)+Coefficienti!$B$10)*(1-Parametri!$B$4))*(1+Parametri!$B$5)+FerrGriglia!H7+Coefficienti!$B$11*Parametri!$B$6,2)</f>
        <v/>
      </c>
      <c r="I21" s="4">
        <f>ROUND((((Coefficienti!$B$1+Coefficienti!$B$2*I$15+Coefficienti!$B$3*$A21)*Parametri!$B$1+(Coefficienti!$B$4+Coefficienti!$B$5*I$15+Coefficienti!$B$6*$A21)*Parametri!$B$2)*(1-Parametri!$B$3)+((Coefficienti!$B$7+Coefficienti!$B$8*I$15+Coefficienti!$B$9*$A21)+Coefficienti!$B$10)*(1-Parametri!$B$4))*(1+Parametri!$B$5)+FerrGriglia!I7+Coefficienti!$B$11*Parametri!$B$6,2)</f>
        <v/>
      </c>
      <c r="J21" s="4">
        <f>ROUND((((Coefficienti!$B$1+Coefficienti!$B$2*J$15+Coefficienti!$B$3*$A21)*Parametri!$B$1+(Coefficienti!$B$4+Coefficienti!$B$5*J$15+Coefficienti!$B$6*$A21)*Parametri!$B$2)*(1-Parametri!$B$3)+((Coefficienti!$B$7+Coefficienti!$B$8*J$15+Coefficienti!$B$9*$A21)+Coefficienti!$B$10)*(1-Parametri!$B$4))*(1+Parametri!$B$5)+FerrGriglia!J7+Coefficienti!$B$11*Parametri!$B$6,2)</f>
        <v/>
      </c>
      <c r="K21" s="4">
        <f>ROUND((((Coefficienti!$B$1+Coefficienti!$B$2*K$15+Coefficienti!$B$3*$A21)*Parametri!$B$1+(Coefficienti!$B$4+Coefficienti!$B$5*K$15+Coefficienti!$B$6*$A21)*Parametri!$B$2)*(1-Parametri!$B$3)+((Coefficienti!$B$7+Coefficienti!$B$8*K$15+Coefficienti!$B$9*$A21)+Coefficienti!$B$10)*(1-Parametri!$B$4))*(1+Parametri!$B$5)+FerrGriglia!K7+Coefficienti!$B$11*Parametri!$B$6,2)</f>
        <v/>
      </c>
      <c r="L21" s="4">
        <f>ROUND((((Coefficienti!$B$1+Coefficienti!$B$2*L$15+Coefficienti!$B$3*$A21)*Parametri!$B$1+(Coefficienti!$B$4+Coefficienti!$B$5*L$15+Coefficienti!$B$6*$A21)*Parametri!$B$2)*(1-Parametri!$B$3)+((Coefficienti!$B$7+Coefficienti!$B$8*L$15+Coefficienti!$B$9*$A21)+Coefficienti!$B$10)*(1-Parametri!$B$4))*(1+Parametri!$B$5)+FerrGriglia!L7+Coefficienti!$B$11*Parametri!$B$6,2)</f>
        <v/>
      </c>
    </row>
    <row r="22">
      <c r="A22" s="2" t="n">
        <v>2500</v>
      </c>
      <c r="B22" s="4">
        <f>ROUND((((Coefficienti!$B$1+Coefficienti!$B$2*B$15+Coefficienti!$B$3*$A22)*Parametri!$B$1+(Coefficienti!$B$4+Coefficienti!$B$5*B$15+Coefficienti!$B$6*$A22)*Parametri!$B$2)*(1-Parametri!$B$3)+((Coefficienti!$B$7+Coefficienti!$B$8*B$15+Coefficienti!$B$9*$A22)+Coefficienti!$B$10)*(1-Parametri!$B$4))*(1+Parametri!$B$5)+FerrGriglia!B8+Coefficienti!$B$11*Parametri!$B$6,2)</f>
        <v/>
      </c>
      <c r="C22" s="4">
        <f>ROUND((((Coefficienti!$B$1+Coefficienti!$B$2*C$15+Coefficienti!$B$3*$A22)*Parametri!$B$1+(Coefficienti!$B$4+Coefficienti!$B$5*C$15+Coefficienti!$B$6*$A22)*Parametri!$B$2)*(1-Parametri!$B$3)+((Coefficienti!$B$7+Coefficienti!$B$8*C$15+Coefficienti!$B$9*$A22)+Coefficienti!$B$10)*(1-Parametri!$B$4))*(1+Parametri!$B$5)+FerrGriglia!C8+Coefficienti!$B$11*Parametri!$B$6,2)</f>
        <v/>
      </c>
      <c r="D22" s="4">
        <f>ROUND((((Coefficienti!$B$1+Coefficienti!$B$2*D$15+Coefficienti!$B$3*$A22)*Parametri!$B$1+(Coefficienti!$B$4+Coefficienti!$B$5*D$15+Coefficienti!$B$6*$A22)*Parametri!$B$2)*(1-Parametri!$B$3)+((Coefficienti!$B$7+Coefficienti!$B$8*D$15+Coefficienti!$B$9*$A22)+Coefficienti!$B$10)*(1-Parametri!$B$4))*(1+Parametri!$B$5)+FerrGriglia!D8+Coefficienti!$B$11*Parametri!$B$6,2)</f>
        <v/>
      </c>
      <c r="E22" s="4">
        <f>ROUND((((Coefficienti!$B$1+Coefficienti!$B$2*E$15+Coefficienti!$B$3*$A22)*Parametri!$B$1+(Coefficienti!$B$4+Coefficienti!$B$5*E$15+Coefficienti!$B$6*$A22)*Parametri!$B$2)*(1-Parametri!$B$3)+((Coefficienti!$B$7+Coefficienti!$B$8*E$15+Coefficienti!$B$9*$A22)+Coefficienti!$B$10)*(1-Parametri!$B$4))*(1+Parametri!$B$5)+FerrGriglia!E8+Coefficienti!$B$11*Parametri!$B$6,2)</f>
        <v/>
      </c>
      <c r="F22" s="4">
        <f>ROUND((((Coefficienti!$B$1+Coefficienti!$B$2*F$15+Coefficienti!$B$3*$A22)*Parametri!$B$1+(Coefficienti!$B$4+Coefficienti!$B$5*F$15+Coefficienti!$B$6*$A22)*Parametri!$B$2)*(1-Parametri!$B$3)+((Coefficienti!$B$7+Coefficienti!$B$8*F$15+Coefficienti!$B$9*$A22)+Coefficienti!$B$10)*(1-Parametri!$B$4))*(1+Parametri!$B$5)+FerrGriglia!F8+Coefficienti!$B$11*Parametri!$B$6,2)</f>
        <v/>
      </c>
      <c r="G22" s="4">
        <f>ROUND((((Coefficienti!$B$1+Coefficienti!$B$2*G$15+Coefficienti!$B$3*$A22)*Parametri!$B$1+(Coefficienti!$B$4+Coefficienti!$B$5*G$15+Coefficienti!$B$6*$A22)*Parametri!$B$2)*(1-Parametri!$B$3)+((Coefficienti!$B$7+Coefficienti!$B$8*G$15+Coefficienti!$B$9*$A22)+Coefficienti!$B$10)*(1-Parametri!$B$4))*(1+Parametri!$B$5)+FerrGriglia!G8+Coefficienti!$B$11*Parametri!$B$6,2)</f>
        <v/>
      </c>
      <c r="H22" s="4">
        <f>ROUND((((Coefficienti!$B$1+Coefficienti!$B$2*H$15+Coefficienti!$B$3*$A22)*Parametri!$B$1+(Coefficienti!$B$4+Coefficienti!$B$5*H$15+Coefficienti!$B$6*$A22)*Parametri!$B$2)*(1-Parametri!$B$3)+((Coefficienti!$B$7+Coefficienti!$B$8*H$15+Coefficienti!$B$9*$A22)+Coefficienti!$B$10)*(1-Parametri!$B$4))*(1+Parametri!$B$5)+FerrGriglia!H8+Coefficienti!$B$11*Parametri!$B$6,2)</f>
        <v/>
      </c>
      <c r="I22" s="4">
        <f>ROUND((((Coefficienti!$B$1+Coefficienti!$B$2*I$15+Coefficienti!$B$3*$A22)*Parametri!$B$1+(Coefficienti!$B$4+Coefficienti!$B$5*I$15+Coefficienti!$B$6*$A22)*Parametri!$B$2)*(1-Parametri!$B$3)+((Coefficienti!$B$7+Coefficienti!$B$8*I$15+Coefficienti!$B$9*$A22)+Coefficienti!$B$10)*(1-Parametri!$B$4))*(1+Parametri!$B$5)+FerrGriglia!I8+Coefficienti!$B$11*Parametri!$B$6,2)</f>
        <v/>
      </c>
      <c r="J22" s="4">
        <f>ROUND((((Coefficienti!$B$1+Coefficienti!$B$2*J$15+Coefficienti!$B$3*$A22)*Parametri!$B$1+(Coefficienti!$B$4+Coefficienti!$B$5*J$15+Coefficienti!$B$6*$A22)*Parametri!$B$2)*(1-Parametri!$B$3)+((Coefficienti!$B$7+Coefficienti!$B$8*J$15+Coefficienti!$B$9*$A22)+Coefficienti!$B$10)*(1-Parametri!$B$4))*(1+Parametri!$B$5)+FerrGriglia!J8+Coefficienti!$B$11*Parametri!$B$6,2)</f>
        <v/>
      </c>
      <c r="K22" s="4">
        <f>ROUND((((Coefficienti!$B$1+Coefficienti!$B$2*K$15+Coefficienti!$B$3*$A22)*Parametri!$B$1+(Coefficienti!$B$4+Coefficienti!$B$5*K$15+Coefficienti!$B$6*$A22)*Parametri!$B$2)*(1-Parametri!$B$3)+((Coefficienti!$B$7+Coefficienti!$B$8*K$15+Coefficienti!$B$9*$A22)+Coefficienti!$B$10)*(1-Parametri!$B$4))*(1+Parametri!$B$5)+FerrGriglia!K8+Coefficienti!$B$11*Parametri!$B$6,2)</f>
        <v/>
      </c>
      <c r="L22" s="4">
        <f>ROUND((((Coefficienti!$B$1+Coefficienti!$B$2*L$15+Coefficienti!$B$3*$A22)*Parametri!$B$1+(Coefficienti!$B$4+Coefficienti!$B$5*L$15+Coefficienti!$B$6*$A22)*Parametri!$B$2)*(1-Parametri!$B$3)+((Coefficienti!$B$7+Coefficienti!$B$8*L$15+Coefficienti!$B$9*$A22)+Coefficienti!$B$10)*(1-Parametri!$B$4))*(1+Parametri!$B$5)+FerrGriglia!L8+Coefficienti!$B$11*Parametri!$B$6,2)</f>
        <v/>
      </c>
    </row>
    <row r="23">
      <c r="A23" s="2" t="n">
        <v>2600</v>
      </c>
      <c r="B23" s="4">
        <f>ROUND((((Coefficienti!$B$1+Coefficienti!$B$2*B$15+Coefficienti!$B$3*$A23)*Parametri!$B$1+(Coefficienti!$B$4+Coefficienti!$B$5*B$15+Coefficienti!$B$6*$A23)*Parametri!$B$2)*(1-Parametri!$B$3)+((Coefficienti!$B$7+Coefficienti!$B$8*B$15+Coefficienti!$B$9*$A23)+Coefficienti!$B$10)*(1-Parametri!$B$4))*(1+Parametri!$B$5)+FerrGriglia!B9+Coefficienti!$B$11*Parametri!$B$6,2)</f>
        <v/>
      </c>
      <c r="C23" s="4">
        <f>ROUND((((Coefficienti!$B$1+Coefficienti!$B$2*C$15+Coefficienti!$B$3*$A23)*Parametri!$B$1+(Coefficienti!$B$4+Coefficienti!$B$5*C$15+Coefficienti!$B$6*$A23)*Parametri!$B$2)*(1-Parametri!$B$3)+((Coefficienti!$B$7+Coefficienti!$B$8*C$15+Coefficienti!$B$9*$A23)+Coefficienti!$B$10)*(1-Parametri!$B$4))*(1+Parametri!$B$5)+FerrGriglia!C9+Coefficienti!$B$11*Parametri!$B$6,2)</f>
        <v/>
      </c>
      <c r="D23" s="4">
        <f>ROUND((((Coefficienti!$B$1+Coefficienti!$B$2*D$15+Coefficienti!$B$3*$A23)*Parametri!$B$1+(Coefficienti!$B$4+Coefficienti!$B$5*D$15+Coefficienti!$B$6*$A23)*Parametri!$B$2)*(1-Parametri!$B$3)+((Coefficienti!$B$7+Coefficienti!$B$8*D$15+Coefficienti!$B$9*$A23)+Coefficienti!$B$10)*(1-Parametri!$B$4))*(1+Parametri!$B$5)+FerrGriglia!D9+Coefficienti!$B$11*Parametri!$B$6,2)</f>
        <v/>
      </c>
      <c r="E23" s="4">
        <f>ROUND((((Coefficienti!$B$1+Coefficienti!$B$2*E$15+Coefficienti!$B$3*$A23)*Parametri!$B$1+(Coefficienti!$B$4+Coefficienti!$B$5*E$15+Coefficienti!$B$6*$A23)*Parametri!$B$2)*(1-Parametri!$B$3)+((Coefficienti!$B$7+Coefficienti!$B$8*E$15+Coefficienti!$B$9*$A23)+Coefficienti!$B$10)*(1-Parametri!$B$4))*(1+Parametri!$B$5)+FerrGriglia!E9+Coefficienti!$B$11*Parametri!$B$6,2)</f>
        <v/>
      </c>
      <c r="F23" s="4">
        <f>ROUND((((Coefficienti!$B$1+Coefficienti!$B$2*F$15+Coefficienti!$B$3*$A23)*Parametri!$B$1+(Coefficienti!$B$4+Coefficienti!$B$5*F$15+Coefficienti!$B$6*$A23)*Parametri!$B$2)*(1-Parametri!$B$3)+((Coefficienti!$B$7+Coefficienti!$B$8*F$15+Coefficienti!$B$9*$A23)+Coefficienti!$B$10)*(1-Parametri!$B$4))*(1+Parametri!$B$5)+FerrGriglia!F9+Coefficienti!$B$11*Parametri!$B$6,2)</f>
        <v/>
      </c>
      <c r="G23" s="4">
        <f>ROUND((((Coefficienti!$B$1+Coefficienti!$B$2*G$15+Coefficienti!$B$3*$A23)*Parametri!$B$1+(Coefficienti!$B$4+Coefficienti!$B$5*G$15+Coefficienti!$B$6*$A23)*Parametri!$B$2)*(1-Parametri!$B$3)+((Coefficienti!$B$7+Coefficienti!$B$8*G$15+Coefficienti!$B$9*$A23)+Coefficienti!$B$10)*(1-Parametri!$B$4))*(1+Parametri!$B$5)+FerrGriglia!G9+Coefficienti!$B$11*Parametri!$B$6,2)</f>
        <v/>
      </c>
      <c r="H23" s="4">
        <f>ROUND((((Coefficienti!$B$1+Coefficienti!$B$2*H$15+Coefficienti!$B$3*$A23)*Parametri!$B$1+(Coefficienti!$B$4+Coefficienti!$B$5*H$15+Coefficienti!$B$6*$A23)*Parametri!$B$2)*(1-Parametri!$B$3)+((Coefficienti!$B$7+Coefficienti!$B$8*H$15+Coefficienti!$B$9*$A23)+Coefficienti!$B$10)*(1-Parametri!$B$4))*(1+Parametri!$B$5)+FerrGriglia!H9+Coefficienti!$B$11*Parametri!$B$6,2)</f>
        <v/>
      </c>
      <c r="I23" s="4">
        <f>ROUND((((Coefficienti!$B$1+Coefficienti!$B$2*I$15+Coefficienti!$B$3*$A23)*Parametri!$B$1+(Coefficienti!$B$4+Coefficienti!$B$5*I$15+Coefficienti!$B$6*$A23)*Parametri!$B$2)*(1-Parametri!$B$3)+((Coefficienti!$B$7+Coefficienti!$B$8*I$15+Coefficienti!$B$9*$A23)+Coefficienti!$B$10)*(1-Parametri!$B$4))*(1+Parametri!$B$5)+FerrGriglia!I9+Coefficienti!$B$11*Parametri!$B$6,2)</f>
        <v/>
      </c>
      <c r="J23" s="4">
        <f>ROUND((((Coefficienti!$B$1+Coefficienti!$B$2*J$15+Coefficienti!$B$3*$A23)*Parametri!$B$1+(Coefficienti!$B$4+Coefficienti!$B$5*J$15+Coefficienti!$B$6*$A23)*Parametri!$B$2)*(1-Parametri!$B$3)+((Coefficienti!$B$7+Coefficienti!$B$8*J$15+Coefficienti!$B$9*$A23)+Coefficienti!$B$10)*(1-Parametri!$B$4))*(1+Parametri!$B$5)+FerrGriglia!J9+Coefficienti!$B$11*Parametri!$B$6,2)</f>
        <v/>
      </c>
      <c r="K23" s="4">
        <f>ROUND((((Coefficienti!$B$1+Coefficienti!$B$2*K$15+Coefficienti!$B$3*$A23)*Parametri!$B$1+(Coefficienti!$B$4+Coefficienti!$B$5*K$15+Coefficienti!$B$6*$A23)*Parametri!$B$2)*(1-Parametri!$B$3)+((Coefficienti!$B$7+Coefficienti!$B$8*K$15+Coefficienti!$B$9*$A23)+Coefficienti!$B$10)*(1-Parametri!$B$4))*(1+Parametri!$B$5)+FerrGriglia!K9+Coefficienti!$B$11*Parametri!$B$6,2)</f>
        <v/>
      </c>
      <c r="L23" s="4">
        <f>ROUND((((Coefficienti!$B$1+Coefficienti!$B$2*L$15+Coefficienti!$B$3*$A23)*Parametri!$B$1+(Coefficienti!$B$4+Coefficienti!$B$5*L$15+Coefficienti!$B$6*$A23)*Parametri!$B$2)*(1-Parametri!$B$3)+((Coefficienti!$B$7+Coefficienti!$B$8*L$15+Coefficienti!$B$9*$A23)+Coefficienti!$B$10)*(1-Parametri!$B$4))*(1+Parametri!$B$5)+FerrGriglia!L9+Coefficienti!$B$11*Parametri!$B$6,2)</f>
        <v/>
      </c>
    </row>
    <row r="24">
      <c r="A24" s="2" t="n">
        <v>2700</v>
      </c>
      <c r="B24" s="4">
        <f>ROUND((((Coefficienti!$B$1+Coefficienti!$B$2*B$15+Coefficienti!$B$3*$A24)*Parametri!$B$1+(Coefficienti!$B$4+Coefficienti!$B$5*B$15+Coefficienti!$B$6*$A24)*Parametri!$B$2)*(1-Parametri!$B$3)+((Coefficienti!$B$7+Coefficienti!$B$8*B$15+Coefficienti!$B$9*$A24)+Coefficienti!$B$10)*(1-Parametri!$B$4))*(1+Parametri!$B$5)+FerrGriglia!B10+Coefficienti!$B$11*Parametri!$B$6,2)</f>
        <v/>
      </c>
      <c r="C24" s="4">
        <f>ROUND((((Coefficienti!$B$1+Coefficienti!$B$2*C$15+Coefficienti!$B$3*$A24)*Parametri!$B$1+(Coefficienti!$B$4+Coefficienti!$B$5*C$15+Coefficienti!$B$6*$A24)*Parametri!$B$2)*(1-Parametri!$B$3)+((Coefficienti!$B$7+Coefficienti!$B$8*C$15+Coefficienti!$B$9*$A24)+Coefficienti!$B$10)*(1-Parametri!$B$4))*(1+Parametri!$B$5)+FerrGriglia!C10+Coefficienti!$B$11*Parametri!$B$6,2)</f>
        <v/>
      </c>
      <c r="D24" s="4">
        <f>ROUND((((Coefficienti!$B$1+Coefficienti!$B$2*D$15+Coefficienti!$B$3*$A24)*Parametri!$B$1+(Coefficienti!$B$4+Coefficienti!$B$5*D$15+Coefficienti!$B$6*$A24)*Parametri!$B$2)*(1-Parametri!$B$3)+((Coefficienti!$B$7+Coefficienti!$B$8*D$15+Coefficienti!$B$9*$A24)+Coefficienti!$B$10)*(1-Parametri!$B$4))*(1+Parametri!$B$5)+FerrGriglia!D10+Coefficienti!$B$11*Parametri!$B$6,2)</f>
        <v/>
      </c>
      <c r="E24" s="4">
        <f>ROUND((((Coefficienti!$B$1+Coefficienti!$B$2*E$15+Coefficienti!$B$3*$A24)*Parametri!$B$1+(Coefficienti!$B$4+Coefficienti!$B$5*E$15+Coefficienti!$B$6*$A24)*Parametri!$B$2)*(1-Parametri!$B$3)+((Coefficienti!$B$7+Coefficienti!$B$8*E$15+Coefficienti!$B$9*$A24)+Coefficienti!$B$10)*(1-Parametri!$B$4))*(1+Parametri!$B$5)+FerrGriglia!E10+Coefficienti!$B$11*Parametri!$B$6,2)</f>
        <v/>
      </c>
      <c r="F24" s="4">
        <f>ROUND((((Coefficienti!$B$1+Coefficienti!$B$2*F$15+Coefficienti!$B$3*$A24)*Parametri!$B$1+(Coefficienti!$B$4+Coefficienti!$B$5*F$15+Coefficienti!$B$6*$A24)*Parametri!$B$2)*(1-Parametri!$B$3)+((Coefficienti!$B$7+Coefficienti!$B$8*F$15+Coefficienti!$B$9*$A24)+Coefficienti!$B$10)*(1-Parametri!$B$4))*(1+Parametri!$B$5)+FerrGriglia!F10+Coefficienti!$B$11*Parametri!$B$6,2)</f>
        <v/>
      </c>
      <c r="G24" s="4">
        <f>ROUND((((Coefficienti!$B$1+Coefficienti!$B$2*G$15+Coefficienti!$B$3*$A24)*Parametri!$B$1+(Coefficienti!$B$4+Coefficienti!$B$5*G$15+Coefficienti!$B$6*$A24)*Parametri!$B$2)*(1-Parametri!$B$3)+((Coefficienti!$B$7+Coefficienti!$B$8*G$15+Coefficienti!$B$9*$A24)+Coefficienti!$B$10)*(1-Parametri!$B$4))*(1+Parametri!$B$5)+FerrGriglia!G10+Coefficienti!$B$11*Parametri!$B$6,2)</f>
        <v/>
      </c>
      <c r="H24" s="4">
        <f>ROUND((((Coefficienti!$B$1+Coefficienti!$B$2*H$15+Coefficienti!$B$3*$A24)*Parametri!$B$1+(Coefficienti!$B$4+Coefficienti!$B$5*H$15+Coefficienti!$B$6*$A24)*Parametri!$B$2)*(1-Parametri!$B$3)+((Coefficienti!$B$7+Coefficienti!$B$8*H$15+Coefficienti!$B$9*$A24)+Coefficienti!$B$10)*(1-Parametri!$B$4))*(1+Parametri!$B$5)+FerrGriglia!H10+Coefficienti!$B$11*Parametri!$B$6,2)</f>
        <v/>
      </c>
      <c r="I24" s="4">
        <f>ROUND((((Coefficienti!$B$1+Coefficienti!$B$2*I$15+Coefficienti!$B$3*$A24)*Parametri!$B$1+(Coefficienti!$B$4+Coefficienti!$B$5*I$15+Coefficienti!$B$6*$A24)*Parametri!$B$2)*(1-Parametri!$B$3)+((Coefficienti!$B$7+Coefficienti!$B$8*I$15+Coefficienti!$B$9*$A24)+Coefficienti!$B$10)*(1-Parametri!$B$4))*(1+Parametri!$B$5)+FerrGriglia!I10+Coefficienti!$B$11*Parametri!$B$6,2)</f>
        <v/>
      </c>
      <c r="J24" s="4">
        <f>ROUND((((Coefficienti!$B$1+Coefficienti!$B$2*J$15+Coefficienti!$B$3*$A24)*Parametri!$B$1+(Coefficienti!$B$4+Coefficienti!$B$5*J$15+Coefficienti!$B$6*$A24)*Parametri!$B$2)*(1-Parametri!$B$3)+((Coefficienti!$B$7+Coefficienti!$B$8*J$15+Coefficienti!$B$9*$A24)+Coefficienti!$B$10)*(1-Parametri!$B$4))*(1+Parametri!$B$5)+FerrGriglia!J10+Coefficienti!$B$11*Parametri!$B$6,2)</f>
        <v/>
      </c>
      <c r="K24" s="4">
        <f>ROUND((((Coefficienti!$B$1+Coefficienti!$B$2*K$15+Coefficienti!$B$3*$A24)*Parametri!$B$1+(Coefficienti!$B$4+Coefficienti!$B$5*K$15+Coefficienti!$B$6*$A24)*Parametri!$B$2)*(1-Parametri!$B$3)+((Coefficienti!$B$7+Coefficienti!$B$8*K$15+Coefficienti!$B$9*$A24)+Coefficienti!$B$10)*(1-Parametri!$B$4))*(1+Parametri!$B$5)+FerrGriglia!K10+Coefficienti!$B$11*Parametri!$B$6,2)</f>
        <v/>
      </c>
      <c r="L24" s="4">
        <f>ROUND((((Coefficienti!$B$1+Coefficienti!$B$2*L$15+Coefficienti!$B$3*$A24)*Parametri!$B$1+(Coefficienti!$B$4+Coefficienti!$B$5*L$15+Coefficienti!$B$6*$A24)*Parametri!$B$2)*(1-Parametri!$B$3)+((Coefficienti!$B$7+Coefficienti!$B$8*L$15+Coefficienti!$B$9*$A24)+Coefficienti!$B$10)*(1-Parametri!$B$4))*(1+Parametri!$B$5)+FerrGriglia!L10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-0.33316</v>
      </c>
    </row>
    <row r="2">
      <c r="A2" s="5" t="inlineStr">
        <is>
          <t>Peso taglio termico per mm di L (kg/mm)</t>
        </is>
      </c>
      <c r="B2" s="5" t="n">
        <v>0.0056</v>
      </c>
    </row>
    <row r="3">
      <c r="A3" s="5" t="inlineStr">
        <is>
          <t>Peso taglio termico per mm di H (kg/mm)</t>
        </is>
      </c>
      <c r="B3" s="5" t="n">
        <v>0.008999999999999999</v>
      </c>
    </row>
    <row r="4">
      <c r="A4" s="5" t="inlineStr">
        <is>
          <t>Peso profili normali costante (kg)</t>
        </is>
      </c>
      <c r="B4" s="5" t="n">
        <v>-0.45072</v>
      </c>
    </row>
    <row r="5">
      <c r="A5" s="5" t="inlineStr">
        <is>
          <t>Peso normali per mm di L (kg/mm)</t>
        </is>
      </c>
      <c r="B5" s="5" t="n">
        <v>0.00095</v>
      </c>
    </row>
    <row r="6">
      <c r="A6" s="5" t="inlineStr">
        <is>
          <t>Peso normali per mm di H (kg/mm)</t>
        </is>
      </c>
      <c r="B6" s="5" t="n">
        <v>0.00187</v>
      </c>
    </row>
    <row r="7">
      <c r="A7" s="5" t="inlineStr">
        <is>
          <t>Guarnizioni costante (€ listino)</t>
        </is>
      </c>
      <c r="B7" s="5" t="n">
        <v>0.015277</v>
      </c>
    </row>
    <row r="8">
      <c r="A8" s="5" t="inlineStr">
        <is>
          <t>Guarnizioni per mm di L (€/mm)</t>
        </is>
      </c>
      <c r="B8" s="5" t="n">
        <v>0.003944</v>
      </c>
    </row>
    <row r="9">
      <c r="A9" s="5" t="inlineStr">
        <is>
          <t>Guarnizioni per mm di H (€/mm)</t>
        </is>
      </c>
      <c r="B9" s="5" t="n">
        <v>0.003157</v>
      </c>
    </row>
    <row r="10">
      <c r="A10" s="5" t="inlineStr">
        <is>
          <t>Accessori totale (€ listino)</t>
        </is>
      </c>
      <c r="B10" s="5" t="n">
        <v>51.502</v>
      </c>
    </row>
    <row r="11">
      <c r="A11" s="5" t="inlineStr">
        <is>
          <t>Ore manodopera</t>
        </is>
      </c>
      <c r="B11" s="5" t="n">
        <v>4.33333333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1000x1900 (FFB/FFH = anta-20). Le griglie usano il foglio FerrGriglia (kit per ogni misura).</t>
        </is>
      </c>
    </row>
    <row r="2">
      <c r="A2" s="5" t="inlineStr">
        <is>
          <t>Cremonese Multi-Matic (lvMWEspagnoletteGesamt) (201740)</t>
        </is>
      </c>
      <c r="B2" s="8" t="n">
        <v>1</v>
      </c>
      <c r="C2" s="6" t="n">
        <v>4.46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(201841)</t>
        </is>
      </c>
      <c r="B3" s="8" t="n">
        <v>1</v>
      </c>
      <c r="C3" s="6" t="n">
        <v>1.69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(211931)</t>
        </is>
      </c>
      <c r="B7" s="8" t="n">
        <v>1</v>
      </c>
      <c r="C7" s="6" t="n">
        <v>2.66</v>
      </c>
      <c r="D7" s="4">
        <f>B7*C7</f>
        <v/>
      </c>
      <c r="E7" s="5" t="inlineStr">
        <is>
          <t>netto 2025</t>
        </is>
      </c>
    </row>
    <row r="8">
      <c r="A8" s="5" t="inlineStr">
        <is>
          <t>Forbice + braccio (ScherenMontiert) (211675)</t>
        </is>
      </c>
      <c r="B8" s="8" t="n">
        <v>1</v>
      </c>
      <c r="C8" s="6" t="n">
        <v>2.58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(211676)</t>
        </is>
      </c>
      <c r="B9" s="8" t="n">
        <v>1</v>
      </c>
      <c r="C9" s="6" t="n">
        <v>2.58</v>
      </c>
      <c r="D9" s="4">
        <f>B9*C9</f>
        <v/>
      </c>
      <c r="E9" s="5" t="inlineStr">
        <is>
          <t>netto 2025</t>
        </is>
      </c>
    </row>
    <row r="10">
      <c r="A10" s="5" t="inlineStr">
        <is>
          <t>Cerniera angolare (ArtNrEcklager) (250400)</t>
        </is>
      </c>
      <c r="B10" s="8" t="n">
        <v>1</v>
      </c>
      <c r="C10" s="6" t="n">
        <v>5.45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Bandella cerniera angolare (ArtNrEcklagerband) (215806)</t>
        </is>
      </c>
      <c r="B11" s="8" t="n">
        <v>1</v>
      </c>
      <c r="C11" s="6" t="n">
        <v>2.33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Scontro fungo IS (SchliessteilIS) (356361)</t>
        </is>
      </c>
      <c r="B12" s="8" t="n">
        <v>2</v>
      </c>
      <c r="C12" s="6" t="n">
        <v>0.3728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Martellina DK — non nel netto 2025 (1033)</t>
        </is>
      </c>
      <c r="B13" s="8" t="n">
        <v>1</v>
      </c>
      <c r="C13" s="6" t="n">
        <v>5.5</v>
      </c>
      <c r="D13" s="4">
        <f>B13*C13</f>
        <v/>
      </c>
      <c r="E13" s="5" t="inlineStr">
        <is>
          <t>manuale</t>
        </is>
      </c>
    </row>
    <row r="14">
      <c r="A14" s="5" t="inlineStr">
        <is>
          <t>Scontro nottolino personalizzato (VZPersonalisiert) — NON a listino (355866)</t>
        </is>
      </c>
      <c r="B14" s="8" t="n">
        <v>4</v>
      </c>
      <c r="C14" s="6" t="n">
        <v>0</v>
      </c>
      <c r="D14" s="4">
        <f>B14*C14</f>
        <v/>
      </c>
      <c r="E14" s="5" t="inlineStr">
        <is>
          <t>da inserire</t>
        </is>
      </c>
    </row>
    <row r="15">
      <c r="A15" s="5" t="inlineStr">
        <is>
          <t>Asta a leva MM anta semifissa (221911)</t>
        </is>
      </c>
      <c r="B15" s="8" t="n">
        <v>1</v>
      </c>
      <c r="C15" s="6" t="n">
        <v>4.46</v>
      </c>
      <c r="D15" s="4">
        <f>B15*C15</f>
        <v/>
      </c>
      <c r="E15" s="5" t="inlineStr">
        <is>
          <t>netto 2025</t>
        </is>
      </c>
    </row>
    <row r="16">
      <c r="A16" s="5" t="inlineStr">
        <is>
          <t>Movimento angolare prolungabile (222205)</t>
        </is>
      </c>
      <c r="B16" s="8" t="n">
        <v>1</v>
      </c>
      <c r="C16" s="6" t="n">
        <v>1.27</v>
      </c>
      <c r="D16" s="4">
        <f>B16*C16</f>
        <v/>
      </c>
      <c r="E16" s="5" t="inlineStr">
        <is>
          <t>netto 2025</t>
        </is>
      </c>
    </row>
    <row r="17">
      <c r="A17" s="5" t="inlineStr">
        <is>
          <t>Scontri anta semifissa — DA INSERIRE</t>
        </is>
      </c>
      <c r="B17" s="8" t="n">
        <v>1</v>
      </c>
      <c r="C17" s="6" t="n">
        <v>0</v>
      </c>
      <c r="D17" s="4">
        <f>B17*C17</f>
        <v/>
      </c>
      <c r="E17" s="5" t="inlineStr">
        <is>
          <t>da inserire</t>
        </is>
      </c>
    </row>
    <row r="18">
      <c r="A18" s="9" t="inlineStr">
        <is>
          <t>TOTALE FERRAMENTA</t>
        </is>
      </c>
      <c r="D18" s="10">
        <f>SUM(D2:D17)</f>
        <v/>
      </c>
    </row>
    <row r="20">
      <c r="A20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800</v>
      </c>
      <c r="C1" s="9" t="n">
        <v>900</v>
      </c>
      <c r="D1" s="9" t="n">
        <v>1000</v>
      </c>
      <c r="E1" s="9" t="n">
        <v>1100</v>
      </c>
      <c r="F1" s="9" t="n">
        <v>1200</v>
      </c>
      <c r="G1" s="9" t="n">
        <v>1300</v>
      </c>
      <c r="H1" s="9" t="n">
        <v>1400</v>
      </c>
      <c r="I1" s="9" t="n">
        <v>1500</v>
      </c>
      <c r="J1" s="9" t="n">
        <v>1600</v>
      </c>
      <c r="K1" s="9" t="n">
        <v>1700</v>
      </c>
      <c r="L1" s="9" t="n">
        <v>1800</v>
      </c>
    </row>
    <row r="2">
      <c r="A2" s="9" t="n">
        <v>1900</v>
      </c>
      <c r="B2" s="4" t="n">
        <v>37.79</v>
      </c>
      <c r="C2" s="4" t="n">
        <v>38.15</v>
      </c>
      <c r="D2" s="4" t="n">
        <v>38.15</v>
      </c>
      <c r="E2" s="4" t="n">
        <v>41.02</v>
      </c>
      <c r="F2" s="4" t="n">
        <v>41.02</v>
      </c>
      <c r="G2" s="4" t="n">
        <v>41.38</v>
      </c>
      <c r="H2" s="4" t="n">
        <v>41.38</v>
      </c>
      <c r="I2" s="4" t="n">
        <v>41.38</v>
      </c>
      <c r="J2" s="4" t="n">
        <v>41.38</v>
      </c>
      <c r="K2" s="4" t="n">
        <v>44.11</v>
      </c>
      <c r="L2" s="4" t="n">
        <v>44.11</v>
      </c>
    </row>
    <row r="3">
      <c r="A3" s="9" t="n">
        <v>2000</v>
      </c>
      <c r="B3" s="4" t="n">
        <v>33.33</v>
      </c>
      <c r="C3" s="4" t="n">
        <v>33.69</v>
      </c>
      <c r="D3" s="4" t="n">
        <v>33.69</v>
      </c>
      <c r="E3" s="4" t="n">
        <v>36.56</v>
      </c>
      <c r="F3" s="4" t="n">
        <v>36.56</v>
      </c>
      <c r="G3" s="4" t="n">
        <v>36.92</v>
      </c>
      <c r="H3" s="4" t="n">
        <v>36.92</v>
      </c>
      <c r="I3" s="4" t="n">
        <v>36.92</v>
      </c>
      <c r="J3" s="4" t="n">
        <v>36.92</v>
      </c>
      <c r="K3" s="4" t="n">
        <v>39.65</v>
      </c>
      <c r="L3" s="4" t="n">
        <v>39.65</v>
      </c>
    </row>
    <row r="4">
      <c r="A4" s="9" t="n">
        <v>2100</v>
      </c>
      <c r="B4" s="4" t="n">
        <v>37.79</v>
      </c>
      <c r="C4" s="4" t="n">
        <v>38.15</v>
      </c>
      <c r="D4" s="4" t="n">
        <v>38.15</v>
      </c>
      <c r="E4" s="4" t="n">
        <v>41.02</v>
      </c>
      <c r="F4" s="4" t="n">
        <v>41.02</v>
      </c>
      <c r="G4" s="4" t="n">
        <v>41.38</v>
      </c>
      <c r="H4" s="4" t="n">
        <v>41.38</v>
      </c>
      <c r="I4" s="4" t="n">
        <v>41.38</v>
      </c>
      <c r="J4" s="4" t="n">
        <v>41.38</v>
      </c>
      <c r="K4" s="4" t="n">
        <v>44.11</v>
      </c>
      <c r="L4" s="4" t="n">
        <v>44.11</v>
      </c>
    </row>
    <row r="5">
      <c r="A5" s="9" t="n">
        <v>2200</v>
      </c>
      <c r="B5" s="4" t="n">
        <v>36.1</v>
      </c>
      <c r="C5" s="4" t="n">
        <v>36.46</v>
      </c>
      <c r="D5" s="4" t="n">
        <v>36.46</v>
      </c>
      <c r="E5" s="4" t="n">
        <v>39.33</v>
      </c>
      <c r="F5" s="4" t="n">
        <v>39.33</v>
      </c>
      <c r="G5" s="4" t="n">
        <v>39.69</v>
      </c>
      <c r="H5" s="4" t="n">
        <v>39.69</v>
      </c>
      <c r="I5" s="4" t="n">
        <v>39.69</v>
      </c>
      <c r="J5" s="4" t="n">
        <v>39.69</v>
      </c>
      <c r="K5" s="4" t="n">
        <v>42.42</v>
      </c>
      <c r="L5" s="4" t="n">
        <v>42.42</v>
      </c>
    </row>
    <row r="6">
      <c r="A6" s="9" t="n">
        <v>2300</v>
      </c>
      <c r="B6" s="4" t="n">
        <v>37.9</v>
      </c>
      <c r="C6" s="4" t="n">
        <v>38.26</v>
      </c>
      <c r="D6" s="4" t="n">
        <v>38.26</v>
      </c>
      <c r="E6" s="4" t="n">
        <v>41.13</v>
      </c>
      <c r="F6" s="4" t="n">
        <v>41.13</v>
      </c>
      <c r="G6" s="4" t="n">
        <v>41.49</v>
      </c>
      <c r="H6" s="4" t="n">
        <v>41.49</v>
      </c>
      <c r="I6" s="4" t="n">
        <v>41.49</v>
      </c>
      <c r="J6" s="4" t="n">
        <v>41.49</v>
      </c>
      <c r="K6" s="4" t="n">
        <v>44.22</v>
      </c>
      <c r="L6" s="4" t="n">
        <v>44.22</v>
      </c>
    </row>
    <row r="7">
      <c r="A7" s="9" t="n">
        <v>2400</v>
      </c>
      <c r="B7" s="4" t="n">
        <v>37.9</v>
      </c>
      <c r="C7" s="4" t="n">
        <v>38.26</v>
      </c>
      <c r="D7" s="4" t="n">
        <v>38.26</v>
      </c>
      <c r="E7" s="4" t="n">
        <v>41.13</v>
      </c>
      <c r="F7" s="4" t="n">
        <v>41.13</v>
      </c>
      <c r="G7" s="4" t="n">
        <v>41.49</v>
      </c>
      <c r="H7" s="4" t="n">
        <v>41.49</v>
      </c>
      <c r="I7" s="4" t="n">
        <v>41.49</v>
      </c>
      <c r="J7" s="4" t="n">
        <v>41.49</v>
      </c>
      <c r="K7" s="4" t="n">
        <v>44.22</v>
      </c>
      <c r="L7" s="4" t="n">
        <v>44.22</v>
      </c>
    </row>
    <row r="8">
      <c r="A8" s="9" t="n">
        <v>2500</v>
      </c>
      <c r="B8" s="4" t="n">
        <v>37.9</v>
      </c>
      <c r="C8" s="4" t="n">
        <v>38.26</v>
      </c>
      <c r="D8" s="4" t="n">
        <v>38.26</v>
      </c>
      <c r="E8" s="4" t="n">
        <v>41.13</v>
      </c>
      <c r="F8" s="4" t="n">
        <v>41.13</v>
      </c>
      <c r="G8" s="4" t="n">
        <v>41.49</v>
      </c>
      <c r="H8" s="4" t="n">
        <v>41.49</v>
      </c>
      <c r="I8" s="4" t="n">
        <v>41.49</v>
      </c>
      <c r="J8" s="4" t="n">
        <v>41.49</v>
      </c>
      <c r="K8" s="4" t="n">
        <v>44.22</v>
      </c>
      <c r="L8" s="4" t="n">
        <v>44.22</v>
      </c>
    </row>
    <row r="9">
      <c r="A9" s="9" t="n">
        <v>2600</v>
      </c>
      <c r="B9" s="4" t="n">
        <v>37.9</v>
      </c>
      <c r="C9" s="4" t="n">
        <v>38.26</v>
      </c>
      <c r="D9" s="4" t="n">
        <v>38.26</v>
      </c>
      <c r="E9" s="4" t="n">
        <v>41.13</v>
      </c>
      <c r="F9" s="4" t="n">
        <v>41.13</v>
      </c>
      <c r="G9" s="4" t="n">
        <v>41.49</v>
      </c>
      <c r="H9" s="4" t="n">
        <v>41.49</v>
      </c>
      <c r="I9" s="4" t="n">
        <v>41.49</v>
      </c>
      <c r="J9" s="4" t="n">
        <v>41.49</v>
      </c>
      <c r="K9" s="4" t="n">
        <v>44.22</v>
      </c>
      <c r="L9" s="4" t="n">
        <v>44.22</v>
      </c>
    </row>
    <row r="10">
      <c r="A10" s="9" t="n">
        <v>2700</v>
      </c>
      <c r="B10" s="4" t="n">
        <v>26.81</v>
      </c>
      <c r="C10" s="4" t="n">
        <v>27.17</v>
      </c>
      <c r="D10" s="4" t="n">
        <v>27.17</v>
      </c>
      <c r="E10" s="4" t="n">
        <v>30.04</v>
      </c>
      <c r="F10" s="4" t="n">
        <v>30.04</v>
      </c>
      <c r="G10" s="4" t="n">
        <v>30.4</v>
      </c>
      <c r="H10" s="4" t="n">
        <v>30.4</v>
      </c>
      <c r="I10" s="4" t="n">
        <v>30.4</v>
      </c>
      <c r="J10" s="4" t="n">
        <v>30.4</v>
      </c>
      <c r="K10" s="4" t="n">
        <v>33.13</v>
      </c>
      <c r="L10" s="4" t="n">
        <v>33.13</v>
      </c>
    </row>
    <row r="13">
      <c r="A13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2026-09-14T20:42:04Z</dcterms:created>
  <dcterms:modified xsi:type="dcterms:W3CDTF">2026-09-14T20:42:04Z</dcterms:modified>
</cp:coreProperties>
</file>