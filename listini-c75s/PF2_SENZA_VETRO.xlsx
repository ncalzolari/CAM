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ezzo" sheetId="1" state="visible" r:id="rId3"/>
    <sheet name="Parametri" sheetId="2" state="visible" r:id="rId4"/>
    <sheet name="Coefficienti" sheetId="3" state="visible" r:id="rId5"/>
    <sheet name="Ferramenta" sheetId="4" state="visible" r:id="rId6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<sst xmlns="http://schemas.openxmlformats.org/spreadsheetml/2006/main" count="44" uniqueCount="43">
  <si>
    <t xml:space="preserve">LISTINO — PORTAFINESTRA 2 ANTE (PB275) — C75S SENZA VETRO — RAL 7016 (costo +213%)</t>
  </si>
  <si>
    <t xml:space="preserve">H/L</t>
  </si>
  <si>
    <t xml:space="preserve">COSTO SERRAMENTO (materiale scontato + sfrido + manodopera)</t>
  </si>
  <si>
    <t xml:space="preserve">Prezzo profili €/kg (10820 CAT.B +ADD — RAL 7016)</t>
  </si>
  <si>
    <t xml:space="preserve">Sconto profili su listino AluK</t>
  </si>
  <si>
    <t xml:space="preserve">Sconto accessori/guarnizioni su listino AluK</t>
  </si>
  <si>
    <t xml:space="preserve">Sfrido</t>
  </si>
  <si>
    <t xml:space="preserve">Tariffa oraria manodopera €/h</t>
  </si>
  <si>
    <t xml:space="preserve">Ricarico su costo totale</t>
  </si>
  <si>
    <t xml:space="preserve">Celle gialle = valori modificabili: tutte le griglie si ricalcolano.</t>
  </si>
  <si>
    <t xml:space="preserve">Listino AluK decorrenza 15-06-2026. Ferramenta: prezzi nel foglio dedicato.</t>
  </si>
  <si>
    <t xml:space="preserve">Peso alluminio costante (kg)</t>
  </si>
  <si>
    <t xml:space="preserve">Peso per mm di L (kg/mm)</t>
  </si>
  <si>
    <t xml:space="preserve">Peso per mm di H (kg/mm)</t>
  </si>
  <si>
    <t xml:space="preserve">Guarnizioni costante (€ listino)</t>
  </si>
  <si>
    <t xml:space="preserve">Guarnizioni per mm di L (€/mm)</t>
  </si>
  <si>
    <t xml:space="preserve">Guarnizioni per mm di H (€/mm)</t>
  </si>
  <si>
    <t xml:space="preserve">Accessori totale (€ listino)</t>
  </si>
  <si>
    <t xml:space="preserve">Ore manodopera</t>
  </si>
  <si>
    <t xml:space="preserve">Derivati dalle distinte catalogo AluK C75S sez. 8 e pesi kg/m catalogo v3.</t>
  </si>
  <si>
    <t xml:space="preserve">Assunzioni: supporti vetro V62008 = 4 per vetro; mascherine V51015 = 2 pz;</t>
  </si>
  <si>
    <t xml:space="preserve">fermavetro battenti N45860 (0,37 kg/m), fisso coppia N45856 (0,62 kg/m);</t>
  </si>
  <si>
    <t xml:space="preserve">squadrette V40022/V40037 prezzate come V40022 (0,607 €).</t>
  </si>
  <si>
    <t xml:space="preserve">Manodopera: 1h telaio + 1h/anta + 20' ferramenta/anta + 20'/vetro.</t>
  </si>
  <si>
    <t xml:space="preserve">Prezzi unitari accessori e guarnizioni dal listino AluK 15-06-2026 (pre-sconto).</t>
  </si>
  <si>
    <t xml:space="preserve">Componente</t>
  </si>
  <si>
    <t xml:space="preserve">Q.tà</t>
  </si>
  <si>
    <t xml:space="preserve">Prezzo €/pz</t>
  </si>
  <si>
    <t xml:space="preserve">Subtotale €</t>
  </si>
  <si>
    <t xml:space="preserve">Martellina DK 1033</t>
  </si>
  <si>
    <t xml:space="preserve">Cremonese Multi Matic GR1590 (201745)</t>
  </si>
  <si>
    <t xml:space="preserve">Chiusura centrale MM (201752)</t>
  </si>
  <si>
    <t xml:space="preserve">Movimento angolare MM (222201)</t>
  </si>
  <si>
    <t xml:space="preserve">Movimento angolare prolungabile (222209)</t>
  </si>
  <si>
    <t xml:space="preserve">Scontro fungo scost.9 (356361)</t>
  </si>
  <si>
    <t xml:space="preserve">Scontro nottolino (355866) — NON a listino</t>
  </si>
  <si>
    <t xml:space="preserve">Cerniere a vista (set anta) — DA INSERIRE</t>
  </si>
  <si>
    <t xml:space="preserve">Forbice a vista + braccio — DA INSERIRE</t>
  </si>
  <si>
    <t xml:space="preserve">Asta a leva MM anta semifissa (221911)</t>
  </si>
  <si>
    <t xml:space="preserve">Movimento angolare prolungabile (222205)</t>
  </si>
  <si>
    <t xml:space="preserve">Scontri anta semifissa — DA INSERIRE</t>
  </si>
  <si>
    <t xml:space="preserve">TOTALE FERRAMENTA</t>
  </si>
  <si>
    <t xml:space="preserve">Celle gialle modificabili. Prezzi a 0 = da inserire: il listino li ignora finché vuoti.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</si>
</sst>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0.00"/>
    <numFmt numFmtId="166" formatCode="0%"/>
  </numFmts>
  <fonts count="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2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10"/>
      <color rgb="FF0000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DDDDDD"/>
        <bgColor rgb="FFCC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DDDD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12" min="2" style="0" width="9"/>
  </cols>
  <sheetData>
    <row r="1" customFormat="false" ht="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  <c r="B2" s="3" t="n">
        <v>800</v>
      </c>
      <c r="C2" s="3" t="n">
        <v>900</v>
      </c>
      <c r="D2" s="3" t="n">
        <v>1000</v>
      </c>
      <c r="E2" s="3" t="n">
        <v>1100</v>
      </c>
      <c r="F2" s="3" t="n">
        <v>1200</v>
      </c>
      <c r="G2" s="3" t="n">
        <v>1300</v>
      </c>
      <c r="H2" s="3" t="n">
        <v>1400</v>
      </c>
      <c r="I2" s="3" t="n">
        <v>1500</v>
      </c>
      <c r="J2" s="3" t="n">
        <v>1600</v>
      </c>
      <c r="K2" s="3" t="n">
        <v>1700</v>
      </c>
      <c r="L2" s="3" t="n">
        <v>1800</v>
      </c>
    </row>
    <row r="3" customFormat="false" ht="15" hidden="false" customHeight="false" outlineLevel="0" collapsed="false">
      <c r="A3" s="2" t="n">
        <v>1900</v>
      </c>
      <c r="B3" s="4" t="n">
        <f aca="false">ROUND(ROUND(((Coefficienti!$B$1+Coefficienti!$B$2*B$2+Coefficienti!$B$3*$A3)*Parametri!$B$1*(1-Parametri!$B$2)+((Coefficienti!$B$4+Coefficienti!$B$5*B$2+Coefficienti!$B$6*$A3)+Coefficienti!$B$7)*(1-Parametri!$B$3))*(1+Parametri!$B$4)+Ferramenta!$D$14+Coefficienti!$B$8*Parametri!$B$5,2)*(1+Parametri!$B$6),2)</f>
        <v>1830.49</v>
      </c>
      <c r="C3" s="4" t="n">
        <f aca="false">ROUND(ROUND(((Coefficienti!$B$1+Coefficienti!$B$2*C$2+Coefficienti!$B$3*$A3)*Parametri!$B$1*(1-Parametri!$B$2)+((Coefficienti!$B$4+Coefficienti!$B$5*C$2+Coefficienti!$B$6*$A3)+Coefficienti!$B$7)*(1-Parametri!$B$3))*(1+Parametri!$B$4)+Ferramenta!$D$14+Coefficienti!$B$8*Parametri!$B$5,2)*(1+Parametri!$B$6),2)</f>
        <v>1850.46</v>
      </c>
      <c r="D3" s="4" t="n">
        <f aca="false">ROUND(ROUND(((Coefficienti!$B$1+Coefficienti!$B$2*D$2+Coefficienti!$B$3*$A3)*Parametri!$B$1*(1-Parametri!$B$2)+((Coefficienti!$B$4+Coefficienti!$B$5*D$2+Coefficienti!$B$6*$A3)+Coefficienti!$B$7)*(1-Parametri!$B$3))*(1+Parametri!$B$4)+Ferramenta!$D$14+Coefficienti!$B$8*Parametri!$B$5,2)*(1+Parametri!$B$6),2)</f>
        <v>1870.39</v>
      </c>
      <c r="E3" s="4" t="n">
        <f aca="false">ROUND(ROUND(((Coefficienti!$B$1+Coefficienti!$B$2*E$2+Coefficienti!$B$3*$A3)*Parametri!$B$1*(1-Parametri!$B$2)+((Coefficienti!$B$4+Coefficienti!$B$5*E$2+Coefficienti!$B$6*$A3)+Coefficienti!$B$7)*(1-Parametri!$B$3))*(1+Parametri!$B$4)+Ferramenta!$D$14+Coefficienti!$B$8*Parametri!$B$5,2)*(1+Parametri!$B$6),2)</f>
        <v>1890.36</v>
      </c>
      <c r="F3" s="4" t="n">
        <f aca="false">ROUND(ROUND(((Coefficienti!$B$1+Coefficienti!$B$2*F$2+Coefficienti!$B$3*$A3)*Parametri!$B$1*(1-Parametri!$B$2)+((Coefficienti!$B$4+Coefficienti!$B$5*F$2+Coefficienti!$B$6*$A3)+Coefficienti!$B$7)*(1-Parametri!$B$3))*(1+Parametri!$B$4)+Ferramenta!$D$14+Coefficienti!$B$8*Parametri!$B$5,2)*(1+Parametri!$B$6),2)</f>
        <v>1910.3</v>
      </c>
      <c r="G3" s="4" t="n">
        <f aca="false">ROUND(ROUND(((Coefficienti!$B$1+Coefficienti!$B$2*G$2+Coefficienti!$B$3*$A3)*Parametri!$B$1*(1-Parametri!$B$2)+((Coefficienti!$B$4+Coefficienti!$B$5*G$2+Coefficienti!$B$6*$A3)+Coefficienti!$B$7)*(1-Parametri!$B$3))*(1+Parametri!$B$4)+Ferramenta!$D$14+Coefficienti!$B$8*Parametri!$B$5,2)*(1+Parametri!$B$6),2)</f>
        <v>1930.27</v>
      </c>
      <c r="H3" s="4" t="n">
        <f aca="false">ROUND(ROUND(((Coefficienti!$B$1+Coefficienti!$B$2*H$2+Coefficienti!$B$3*$A3)*Parametri!$B$1*(1-Parametri!$B$2)+((Coefficienti!$B$4+Coefficienti!$B$5*H$2+Coefficienti!$B$6*$A3)+Coefficienti!$B$7)*(1-Parametri!$B$3))*(1+Parametri!$B$4)+Ferramenta!$D$14+Coefficienti!$B$8*Parametri!$B$5,2)*(1+Parametri!$B$6),2)</f>
        <v>1950.21</v>
      </c>
      <c r="I3" s="4" t="n">
        <f aca="false">ROUND(ROUND(((Coefficienti!$B$1+Coefficienti!$B$2*I$2+Coefficienti!$B$3*$A3)*Parametri!$B$1*(1-Parametri!$B$2)+((Coefficienti!$B$4+Coefficienti!$B$5*I$2+Coefficienti!$B$6*$A3)+Coefficienti!$B$7)*(1-Parametri!$B$3))*(1+Parametri!$B$4)+Ferramenta!$D$14+Coefficienti!$B$8*Parametri!$B$5,2)*(1+Parametri!$B$6),2)</f>
        <v>1970.18</v>
      </c>
      <c r="J3" s="4" t="n">
        <f aca="false">ROUND(ROUND(((Coefficienti!$B$1+Coefficienti!$B$2*J$2+Coefficienti!$B$3*$A3)*Parametri!$B$1*(1-Parametri!$B$2)+((Coefficienti!$B$4+Coefficienti!$B$5*J$2+Coefficienti!$B$6*$A3)+Coefficienti!$B$7)*(1-Parametri!$B$3))*(1+Parametri!$B$4)+Ferramenta!$D$14+Coefficienti!$B$8*Parametri!$B$5,2)*(1+Parametri!$B$6),2)</f>
        <v>1990.12</v>
      </c>
      <c r="K3" s="4" t="n">
        <f aca="false">ROUND(ROUND(((Coefficienti!$B$1+Coefficienti!$B$2*K$2+Coefficienti!$B$3*$A3)*Parametri!$B$1*(1-Parametri!$B$2)+((Coefficienti!$B$4+Coefficienti!$B$5*K$2+Coefficienti!$B$6*$A3)+Coefficienti!$B$7)*(1-Parametri!$B$3))*(1+Parametri!$B$4)+Ferramenta!$D$14+Coefficienti!$B$8*Parametri!$B$5,2)*(1+Parametri!$B$6),2)</f>
        <v>2010.09</v>
      </c>
      <c r="L3" s="4" t="n">
        <f aca="false">ROUND(ROUND(((Coefficienti!$B$1+Coefficienti!$B$2*L$2+Coefficienti!$B$3*$A3)*Parametri!$B$1*(1-Parametri!$B$2)+((Coefficienti!$B$4+Coefficienti!$B$5*L$2+Coefficienti!$B$6*$A3)+Coefficienti!$B$7)*(1-Parametri!$B$3))*(1+Parametri!$B$4)+Ferramenta!$D$14+Coefficienti!$B$8*Parametri!$B$5,2)*(1+Parametri!$B$6),2)</f>
        <v>2030.02</v>
      </c>
    </row>
    <row r="4" customFormat="false" ht="15" hidden="false" customHeight="false" outlineLevel="0" collapsed="false">
      <c r="A4" s="2" t="n">
        <v>2000</v>
      </c>
      <c r="B4" s="4" t="n">
        <f aca="false">ROUND(ROUND(((Coefficienti!$B$1+Coefficienti!$B$2*B$2+Coefficienti!$B$3*$A4)*Parametri!$B$1*(1-Parametri!$B$2)+((Coefficienti!$B$4+Coefficienti!$B$5*B$2+Coefficienti!$B$6*$A4)+Coefficienti!$B$7)*(1-Parametri!$B$3))*(1+Parametri!$B$4)+Ferramenta!$D$14+Coefficienti!$B$8*Parametri!$B$5,2)*(1+Parametri!$B$6),2)</f>
        <v>1862.69</v>
      </c>
      <c r="C4" s="4" t="n">
        <f aca="false">ROUND(ROUND(((Coefficienti!$B$1+Coefficienti!$B$2*C$2+Coefficienti!$B$3*$A4)*Parametri!$B$1*(1-Parametri!$B$2)+((Coefficienti!$B$4+Coefficienti!$B$5*C$2+Coefficienti!$B$6*$A4)+Coefficienti!$B$7)*(1-Parametri!$B$3))*(1+Parametri!$B$4)+Ferramenta!$D$14+Coefficienti!$B$8*Parametri!$B$5,2)*(1+Parametri!$B$6),2)</f>
        <v>1882.63</v>
      </c>
      <c r="D4" s="4" t="n">
        <f aca="false">ROUND(ROUND(((Coefficienti!$B$1+Coefficienti!$B$2*D$2+Coefficienti!$B$3*$A4)*Parametri!$B$1*(1-Parametri!$B$2)+((Coefficienti!$B$4+Coefficienti!$B$5*D$2+Coefficienti!$B$6*$A4)+Coefficienti!$B$7)*(1-Parametri!$B$3))*(1+Parametri!$B$4)+Ferramenta!$D$14+Coefficienti!$B$8*Parametri!$B$5,2)*(1+Parametri!$B$6),2)</f>
        <v>1902.6</v>
      </c>
      <c r="E4" s="4" t="n">
        <f aca="false">ROUND(ROUND(((Coefficienti!$B$1+Coefficienti!$B$2*E$2+Coefficienti!$B$3*$A4)*Parametri!$B$1*(1-Parametri!$B$2)+((Coefficienti!$B$4+Coefficienti!$B$5*E$2+Coefficienti!$B$6*$A4)+Coefficienti!$B$7)*(1-Parametri!$B$3))*(1+Parametri!$B$4)+Ferramenta!$D$14+Coefficienti!$B$8*Parametri!$B$5,2)*(1+Parametri!$B$6),2)</f>
        <v>1922.54</v>
      </c>
      <c r="F4" s="4" t="n">
        <f aca="false">ROUND(ROUND(((Coefficienti!$B$1+Coefficienti!$B$2*F$2+Coefficienti!$B$3*$A4)*Parametri!$B$1*(1-Parametri!$B$2)+((Coefficienti!$B$4+Coefficienti!$B$5*F$2+Coefficienti!$B$6*$A4)+Coefficienti!$B$7)*(1-Parametri!$B$3))*(1+Parametri!$B$4)+Ferramenta!$D$14+Coefficienti!$B$8*Parametri!$B$5,2)*(1+Parametri!$B$6),2)</f>
        <v>1942.51</v>
      </c>
      <c r="G4" s="4" t="n">
        <f aca="false">ROUND(ROUND(((Coefficienti!$B$1+Coefficienti!$B$2*G$2+Coefficienti!$B$3*$A4)*Parametri!$B$1*(1-Parametri!$B$2)+((Coefficienti!$B$4+Coefficienti!$B$5*G$2+Coefficienti!$B$6*$A4)+Coefficienti!$B$7)*(1-Parametri!$B$3))*(1+Parametri!$B$4)+Ferramenta!$D$14+Coefficienti!$B$8*Parametri!$B$5,2)*(1+Parametri!$B$6),2)</f>
        <v>1962.45</v>
      </c>
      <c r="H4" s="4" t="n">
        <f aca="false">ROUND(ROUND(((Coefficienti!$B$1+Coefficienti!$B$2*H$2+Coefficienti!$B$3*$A4)*Parametri!$B$1*(1-Parametri!$B$2)+((Coefficienti!$B$4+Coefficienti!$B$5*H$2+Coefficienti!$B$6*$A4)+Coefficienti!$B$7)*(1-Parametri!$B$3))*(1+Parametri!$B$4)+Ferramenta!$D$14+Coefficienti!$B$8*Parametri!$B$5,2)*(1+Parametri!$B$6),2)</f>
        <v>1982.42</v>
      </c>
      <c r="I4" s="4" t="n">
        <f aca="false">ROUND(ROUND(((Coefficienti!$B$1+Coefficienti!$B$2*I$2+Coefficienti!$B$3*$A4)*Parametri!$B$1*(1-Parametri!$B$2)+((Coefficienti!$B$4+Coefficienti!$B$5*I$2+Coefficienti!$B$6*$A4)+Coefficienti!$B$7)*(1-Parametri!$B$3))*(1+Parametri!$B$4)+Ferramenta!$D$14+Coefficienti!$B$8*Parametri!$B$5,2)*(1+Parametri!$B$6),2)</f>
        <v>2002.35</v>
      </c>
      <c r="J4" s="4" t="n">
        <f aca="false">ROUND(ROUND(((Coefficienti!$B$1+Coefficienti!$B$2*J$2+Coefficienti!$B$3*$A4)*Parametri!$B$1*(1-Parametri!$B$2)+((Coefficienti!$B$4+Coefficienti!$B$5*J$2+Coefficienti!$B$6*$A4)+Coefficienti!$B$7)*(1-Parametri!$B$3))*(1+Parametri!$B$4)+Ferramenta!$D$14+Coefficienti!$B$8*Parametri!$B$5,2)*(1+Parametri!$B$6),2)</f>
        <v>2022.32</v>
      </c>
      <c r="K4" s="4" t="n">
        <f aca="false">ROUND(ROUND(((Coefficienti!$B$1+Coefficienti!$B$2*K$2+Coefficienti!$B$3*$A4)*Parametri!$B$1*(1-Parametri!$B$2)+((Coefficienti!$B$4+Coefficienti!$B$5*K$2+Coefficienti!$B$6*$A4)+Coefficienti!$B$7)*(1-Parametri!$B$3))*(1+Parametri!$B$4)+Ferramenta!$D$14+Coefficienti!$B$8*Parametri!$B$5,2)*(1+Parametri!$B$6),2)</f>
        <v>2042.26</v>
      </c>
      <c r="L4" s="4" t="n">
        <f aca="false">ROUND(ROUND(((Coefficienti!$B$1+Coefficienti!$B$2*L$2+Coefficienti!$B$3*$A4)*Parametri!$B$1*(1-Parametri!$B$2)+((Coefficienti!$B$4+Coefficienti!$B$5*L$2+Coefficienti!$B$6*$A4)+Coefficienti!$B$7)*(1-Parametri!$B$3))*(1+Parametri!$B$4)+Ferramenta!$D$14+Coefficienti!$B$8*Parametri!$B$5,2)*(1+Parametri!$B$6),2)</f>
        <v>2062.23</v>
      </c>
    </row>
    <row r="5" customFormat="false" ht="15" hidden="false" customHeight="false" outlineLevel="0" collapsed="false">
      <c r="A5" s="2" t="n">
        <v>2100</v>
      </c>
      <c r="B5" s="4" t="n">
        <f aca="false">ROUND(ROUND(((Coefficienti!$B$1+Coefficienti!$B$2*B$2+Coefficienti!$B$3*$A5)*Parametri!$B$1*(1-Parametri!$B$2)+((Coefficienti!$B$4+Coefficienti!$B$5*B$2+Coefficienti!$B$6*$A5)+Coefficienti!$B$7)*(1-Parametri!$B$3))*(1+Parametri!$B$4)+Ferramenta!$D$14+Coefficienti!$B$8*Parametri!$B$5,2)*(1+Parametri!$B$6),2)</f>
        <v>1894.87</v>
      </c>
      <c r="C5" s="4" t="n">
        <f aca="false">ROUND(ROUND(((Coefficienti!$B$1+Coefficienti!$B$2*C$2+Coefficienti!$B$3*$A5)*Parametri!$B$1*(1-Parametri!$B$2)+((Coefficienti!$B$4+Coefficienti!$B$5*C$2+Coefficienti!$B$6*$A5)+Coefficienti!$B$7)*(1-Parametri!$B$3))*(1+Parametri!$B$4)+Ferramenta!$D$14+Coefficienti!$B$8*Parametri!$B$5,2)*(1+Parametri!$B$6),2)</f>
        <v>1914.84</v>
      </c>
      <c r="D5" s="4" t="n">
        <f aca="false">ROUND(ROUND(((Coefficienti!$B$1+Coefficienti!$B$2*D$2+Coefficienti!$B$3*$A5)*Parametri!$B$1*(1-Parametri!$B$2)+((Coefficienti!$B$4+Coefficienti!$B$5*D$2+Coefficienti!$B$6*$A5)+Coefficienti!$B$7)*(1-Parametri!$B$3))*(1+Parametri!$B$4)+Ferramenta!$D$14+Coefficienti!$B$8*Parametri!$B$5,2)*(1+Parametri!$B$6),2)</f>
        <v>1934.78</v>
      </c>
      <c r="E5" s="4" t="n">
        <f aca="false">ROUND(ROUND(((Coefficienti!$B$1+Coefficienti!$B$2*E$2+Coefficienti!$B$3*$A5)*Parametri!$B$1*(1-Parametri!$B$2)+((Coefficienti!$B$4+Coefficienti!$B$5*E$2+Coefficienti!$B$6*$A5)+Coefficienti!$B$7)*(1-Parametri!$B$3))*(1+Parametri!$B$4)+Ferramenta!$D$14+Coefficienti!$B$8*Parametri!$B$5,2)*(1+Parametri!$B$6),2)</f>
        <v>1954.75</v>
      </c>
      <c r="F5" s="4" t="n">
        <f aca="false">ROUND(ROUND(((Coefficienti!$B$1+Coefficienti!$B$2*F$2+Coefficienti!$B$3*$A5)*Parametri!$B$1*(1-Parametri!$B$2)+((Coefficienti!$B$4+Coefficienti!$B$5*F$2+Coefficienti!$B$6*$A5)+Coefficienti!$B$7)*(1-Parametri!$B$3))*(1+Parametri!$B$4)+Ferramenta!$D$14+Coefficienti!$B$8*Parametri!$B$5,2)*(1+Parametri!$B$6),2)</f>
        <v>1974.69</v>
      </c>
      <c r="G5" s="4" t="n">
        <f aca="false">ROUND(ROUND(((Coefficienti!$B$1+Coefficienti!$B$2*G$2+Coefficienti!$B$3*$A5)*Parametri!$B$1*(1-Parametri!$B$2)+((Coefficienti!$B$4+Coefficienti!$B$5*G$2+Coefficienti!$B$6*$A5)+Coefficienti!$B$7)*(1-Parametri!$B$3))*(1+Parametri!$B$4)+Ferramenta!$D$14+Coefficienti!$B$8*Parametri!$B$5,2)*(1+Parametri!$B$6),2)</f>
        <v>1994.66</v>
      </c>
      <c r="H5" s="4" t="n">
        <f aca="false">ROUND(ROUND(((Coefficienti!$B$1+Coefficienti!$B$2*H$2+Coefficienti!$B$3*$A5)*Parametri!$B$1*(1-Parametri!$B$2)+((Coefficienti!$B$4+Coefficienti!$B$5*H$2+Coefficienti!$B$6*$A5)+Coefficienti!$B$7)*(1-Parametri!$B$3))*(1+Parametri!$B$4)+Ferramenta!$D$14+Coefficienti!$B$8*Parametri!$B$5,2)*(1+Parametri!$B$6),2)</f>
        <v>2014.59</v>
      </c>
      <c r="I5" s="4" t="n">
        <f aca="false">ROUND(ROUND(((Coefficienti!$B$1+Coefficienti!$B$2*I$2+Coefficienti!$B$3*$A5)*Parametri!$B$1*(1-Parametri!$B$2)+((Coefficienti!$B$4+Coefficienti!$B$5*I$2+Coefficienti!$B$6*$A5)+Coefficienti!$B$7)*(1-Parametri!$B$3))*(1+Parametri!$B$4)+Ferramenta!$D$14+Coefficienti!$B$8*Parametri!$B$5,2)*(1+Parametri!$B$6),2)</f>
        <v>2034.56</v>
      </c>
      <c r="J5" s="4" t="n">
        <f aca="false">ROUND(ROUND(((Coefficienti!$B$1+Coefficienti!$B$2*J$2+Coefficienti!$B$3*$A5)*Parametri!$B$1*(1-Parametri!$B$2)+((Coefficienti!$B$4+Coefficienti!$B$5*J$2+Coefficienti!$B$6*$A5)+Coefficienti!$B$7)*(1-Parametri!$B$3))*(1+Parametri!$B$4)+Ferramenta!$D$14+Coefficienti!$B$8*Parametri!$B$5,2)*(1+Parametri!$B$6),2)</f>
        <v>2054.5</v>
      </c>
      <c r="K5" s="4" t="n">
        <f aca="false">ROUND(ROUND(((Coefficienti!$B$1+Coefficienti!$B$2*K$2+Coefficienti!$B$3*$A5)*Parametri!$B$1*(1-Parametri!$B$2)+((Coefficienti!$B$4+Coefficienti!$B$5*K$2+Coefficienti!$B$6*$A5)+Coefficienti!$B$7)*(1-Parametri!$B$3))*(1+Parametri!$B$4)+Ferramenta!$D$14+Coefficienti!$B$8*Parametri!$B$5,2)*(1+Parametri!$B$6),2)</f>
        <v>2074.47</v>
      </c>
      <c r="L5" s="4" t="n">
        <f aca="false">ROUND(ROUND(((Coefficienti!$B$1+Coefficienti!$B$2*L$2+Coefficienti!$B$3*$A5)*Parametri!$B$1*(1-Parametri!$B$2)+((Coefficienti!$B$4+Coefficienti!$B$5*L$2+Coefficienti!$B$6*$A5)+Coefficienti!$B$7)*(1-Parametri!$B$3))*(1+Parametri!$B$4)+Ferramenta!$D$14+Coefficienti!$B$8*Parametri!$B$5,2)*(1+Parametri!$B$6),2)</f>
        <v>2094.41</v>
      </c>
    </row>
    <row r="6" customFormat="false" ht="15" hidden="false" customHeight="false" outlineLevel="0" collapsed="false">
      <c r="A6" s="2" t="n">
        <v>2200</v>
      </c>
      <c r="B6" s="4" t="n">
        <f aca="false">ROUND(ROUND(((Coefficienti!$B$1+Coefficienti!$B$2*B$2+Coefficienti!$B$3*$A6)*Parametri!$B$1*(1-Parametri!$B$2)+((Coefficienti!$B$4+Coefficienti!$B$5*B$2+Coefficienti!$B$6*$A6)+Coefficienti!$B$7)*(1-Parametri!$B$3))*(1+Parametri!$B$4)+Ferramenta!$D$14+Coefficienti!$B$8*Parametri!$B$5,2)*(1+Parametri!$B$6),2)</f>
        <v>1927.08</v>
      </c>
      <c r="C6" s="4" t="n">
        <f aca="false">ROUND(ROUND(((Coefficienti!$B$1+Coefficienti!$B$2*C$2+Coefficienti!$B$3*$A6)*Parametri!$B$1*(1-Parametri!$B$2)+((Coefficienti!$B$4+Coefficienti!$B$5*C$2+Coefficienti!$B$6*$A6)+Coefficienti!$B$7)*(1-Parametri!$B$3))*(1+Parametri!$B$4)+Ferramenta!$D$14+Coefficienti!$B$8*Parametri!$B$5,2)*(1+Parametri!$B$6),2)</f>
        <v>1947.02</v>
      </c>
      <c r="D6" s="4" t="n">
        <f aca="false">ROUND(ROUND(((Coefficienti!$B$1+Coefficienti!$B$2*D$2+Coefficienti!$B$3*$A6)*Parametri!$B$1*(1-Parametri!$B$2)+((Coefficienti!$B$4+Coefficienti!$B$5*D$2+Coefficienti!$B$6*$A6)+Coefficienti!$B$7)*(1-Parametri!$B$3))*(1+Parametri!$B$4)+Ferramenta!$D$14+Coefficienti!$B$8*Parametri!$B$5,2)*(1+Parametri!$B$6),2)</f>
        <v>1966.99</v>
      </c>
      <c r="E6" s="4" t="n">
        <f aca="false">ROUND(ROUND(((Coefficienti!$B$1+Coefficienti!$B$2*E$2+Coefficienti!$B$3*$A6)*Parametri!$B$1*(1-Parametri!$B$2)+((Coefficienti!$B$4+Coefficienti!$B$5*E$2+Coefficienti!$B$6*$A6)+Coefficienti!$B$7)*(1-Parametri!$B$3))*(1+Parametri!$B$4)+Ferramenta!$D$14+Coefficienti!$B$8*Parametri!$B$5,2)*(1+Parametri!$B$6),2)</f>
        <v>1986.92</v>
      </c>
      <c r="F6" s="4" t="n">
        <f aca="false">ROUND(ROUND(((Coefficienti!$B$1+Coefficienti!$B$2*F$2+Coefficienti!$B$3*$A6)*Parametri!$B$1*(1-Parametri!$B$2)+((Coefficienti!$B$4+Coefficienti!$B$5*F$2+Coefficienti!$B$6*$A6)+Coefficienti!$B$7)*(1-Parametri!$B$3))*(1+Parametri!$B$4)+Ferramenta!$D$14+Coefficienti!$B$8*Parametri!$B$5,2)*(1+Parametri!$B$6),2)</f>
        <v>2006.89</v>
      </c>
      <c r="G6" s="4" t="n">
        <f aca="false">ROUND(ROUND(((Coefficienti!$B$1+Coefficienti!$B$2*G$2+Coefficienti!$B$3*$A6)*Parametri!$B$1*(1-Parametri!$B$2)+((Coefficienti!$B$4+Coefficienti!$B$5*G$2+Coefficienti!$B$6*$A6)+Coefficienti!$B$7)*(1-Parametri!$B$3))*(1+Parametri!$B$4)+Ferramenta!$D$14+Coefficienti!$B$8*Parametri!$B$5,2)*(1+Parametri!$B$6),2)</f>
        <v>2026.83</v>
      </c>
      <c r="H6" s="4" t="n">
        <f aca="false">ROUND(ROUND(((Coefficienti!$B$1+Coefficienti!$B$2*H$2+Coefficienti!$B$3*$A6)*Parametri!$B$1*(1-Parametri!$B$2)+((Coefficienti!$B$4+Coefficienti!$B$5*H$2+Coefficienti!$B$6*$A6)+Coefficienti!$B$7)*(1-Parametri!$B$3))*(1+Parametri!$B$4)+Ferramenta!$D$14+Coefficienti!$B$8*Parametri!$B$5,2)*(1+Parametri!$B$6),2)</f>
        <v>2046.8</v>
      </c>
      <c r="I6" s="4" t="n">
        <f aca="false">ROUND(ROUND(((Coefficienti!$B$1+Coefficienti!$B$2*I$2+Coefficienti!$B$3*$A6)*Parametri!$B$1*(1-Parametri!$B$2)+((Coefficienti!$B$4+Coefficienti!$B$5*I$2+Coefficienti!$B$6*$A6)+Coefficienti!$B$7)*(1-Parametri!$B$3))*(1+Parametri!$B$4)+Ferramenta!$D$14+Coefficienti!$B$8*Parametri!$B$5,2)*(1+Parametri!$B$6),2)</f>
        <v>2066.74</v>
      </c>
      <c r="J6" s="4" t="n">
        <f aca="false">ROUND(ROUND(((Coefficienti!$B$1+Coefficienti!$B$2*J$2+Coefficienti!$B$3*$A6)*Parametri!$B$1*(1-Parametri!$B$2)+((Coefficienti!$B$4+Coefficienti!$B$5*J$2+Coefficienti!$B$6*$A6)+Coefficienti!$B$7)*(1-Parametri!$B$3))*(1+Parametri!$B$4)+Ferramenta!$D$14+Coefficienti!$B$8*Parametri!$B$5,2)*(1+Parametri!$B$6),2)</f>
        <v>2086.71</v>
      </c>
      <c r="K6" s="4" t="n">
        <f aca="false">ROUND(ROUND(((Coefficienti!$B$1+Coefficienti!$B$2*K$2+Coefficienti!$B$3*$A6)*Parametri!$B$1*(1-Parametri!$B$2)+((Coefficienti!$B$4+Coefficienti!$B$5*K$2+Coefficienti!$B$6*$A6)+Coefficienti!$B$7)*(1-Parametri!$B$3))*(1+Parametri!$B$4)+Ferramenta!$D$14+Coefficienti!$B$8*Parametri!$B$5,2)*(1+Parametri!$B$6),2)</f>
        <v>2106.65</v>
      </c>
      <c r="L6" s="4" t="n">
        <f aca="false">ROUND(ROUND(((Coefficienti!$B$1+Coefficienti!$B$2*L$2+Coefficienti!$B$3*$A6)*Parametri!$B$1*(1-Parametri!$B$2)+((Coefficienti!$B$4+Coefficienti!$B$5*L$2+Coefficienti!$B$6*$A6)+Coefficienti!$B$7)*(1-Parametri!$B$3))*(1+Parametri!$B$4)+Ferramenta!$D$14+Coefficienti!$B$8*Parametri!$B$5,2)*(1+Parametri!$B$6),2)</f>
        <v>2126.62</v>
      </c>
    </row>
    <row r="7" customFormat="false" ht="15" hidden="false" customHeight="false" outlineLevel="0" collapsed="false">
      <c r="A7" s="2" t="n">
        <v>2300</v>
      </c>
      <c r="B7" s="4" t="n">
        <f aca="false">ROUND(ROUND(((Coefficienti!$B$1+Coefficienti!$B$2*B$2+Coefficienti!$B$3*$A7)*Parametri!$B$1*(1-Parametri!$B$2)+((Coefficienti!$B$4+Coefficienti!$B$5*B$2+Coefficienti!$B$6*$A7)+Coefficienti!$B$7)*(1-Parametri!$B$3))*(1+Parametri!$B$4)+Ferramenta!$D$14+Coefficienti!$B$8*Parametri!$B$5,2)*(1+Parametri!$B$6),2)</f>
        <v>1959.25</v>
      </c>
      <c r="C7" s="4" t="n">
        <f aca="false">ROUND(ROUND(((Coefficienti!$B$1+Coefficienti!$B$2*C$2+Coefficienti!$B$3*$A7)*Parametri!$B$1*(1-Parametri!$B$2)+((Coefficienti!$B$4+Coefficienti!$B$5*C$2+Coefficienti!$B$6*$A7)+Coefficienti!$B$7)*(1-Parametri!$B$3))*(1+Parametri!$B$4)+Ferramenta!$D$14+Coefficienti!$B$8*Parametri!$B$5,2)*(1+Parametri!$B$6),2)</f>
        <v>1979.22</v>
      </c>
      <c r="D7" s="4" t="n">
        <f aca="false">ROUND(ROUND(((Coefficienti!$B$1+Coefficienti!$B$2*D$2+Coefficienti!$B$3*$A7)*Parametri!$B$1*(1-Parametri!$B$2)+((Coefficienti!$B$4+Coefficienti!$B$5*D$2+Coefficienti!$B$6*$A7)+Coefficienti!$B$7)*(1-Parametri!$B$3))*(1+Parametri!$B$4)+Ferramenta!$D$14+Coefficienti!$B$8*Parametri!$B$5,2)*(1+Parametri!$B$6),2)</f>
        <v>1999.16</v>
      </c>
      <c r="E7" s="4" t="n">
        <f aca="false">ROUND(ROUND(((Coefficienti!$B$1+Coefficienti!$B$2*E$2+Coefficienti!$B$3*$A7)*Parametri!$B$1*(1-Parametri!$B$2)+((Coefficienti!$B$4+Coefficienti!$B$5*E$2+Coefficienti!$B$6*$A7)+Coefficienti!$B$7)*(1-Parametri!$B$3))*(1+Parametri!$B$4)+Ferramenta!$D$14+Coefficienti!$B$8*Parametri!$B$5,2)*(1+Parametri!$B$6),2)</f>
        <v>2019.1</v>
      </c>
      <c r="F7" s="4" t="n">
        <f aca="false">ROUND(ROUND(((Coefficienti!$B$1+Coefficienti!$B$2*F$2+Coefficienti!$B$3*$A7)*Parametri!$B$1*(1-Parametri!$B$2)+((Coefficienti!$B$4+Coefficienti!$B$5*F$2+Coefficienti!$B$6*$A7)+Coefficienti!$B$7)*(1-Parametri!$B$3))*(1+Parametri!$B$4)+Ferramenta!$D$14+Coefficienti!$B$8*Parametri!$B$5,2)*(1+Parametri!$B$6),2)</f>
        <v>2039.07</v>
      </c>
      <c r="G7" s="4" t="n">
        <f aca="false">ROUND(ROUND(((Coefficienti!$B$1+Coefficienti!$B$2*G$2+Coefficienti!$B$3*$A7)*Parametri!$B$1*(1-Parametri!$B$2)+((Coefficienti!$B$4+Coefficienti!$B$5*G$2+Coefficienti!$B$6*$A7)+Coefficienti!$B$7)*(1-Parametri!$B$3))*(1+Parametri!$B$4)+Ferramenta!$D$14+Coefficienti!$B$8*Parametri!$B$5,2)*(1+Parametri!$B$6),2)</f>
        <v>2059.01</v>
      </c>
      <c r="H7" s="4" t="n">
        <f aca="false">ROUND(ROUND(((Coefficienti!$B$1+Coefficienti!$B$2*H$2+Coefficienti!$B$3*$A7)*Parametri!$B$1*(1-Parametri!$B$2)+((Coefficienti!$B$4+Coefficienti!$B$5*H$2+Coefficienti!$B$6*$A7)+Coefficienti!$B$7)*(1-Parametri!$B$3))*(1+Parametri!$B$4)+Ferramenta!$D$14+Coefficienti!$B$8*Parametri!$B$5,2)*(1+Parametri!$B$6),2)</f>
        <v>2078.98</v>
      </c>
      <c r="I7" s="4" t="n">
        <f aca="false">ROUND(ROUND(((Coefficienti!$B$1+Coefficienti!$B$2*I$2+Coefficienti!$B$3*$A7)*Parametri!$B$1*(1-Parametri!$B$2)+((Coefficienti!$B$4+Coefficienti!$B$5*I$2+Coefficienti!$B$6*$A7)+Coefficienti!$B$7)*(1-Parametri!$B$3))*(1+Parametri!$B$4)+Ferramenta!$D$14+Coefficienti!$B$8*Parametri!$B$5,2)*(1+Parametri!$B$6),2)</f>
        <v>2098.92</v>
      </c>
      <c r="J7" s="4" t="n">
        <f aca="false">ROUND(ROUND(((Coefficienti!$B$1+Coefficienti!$B$2*J$2+Coefficienti!$B$3*$A7)*Parametri!$B$1*(1-Parametri!$B$2)+((Coefficienti!$B$4+Coefficienti!$B$5*J$2+Coefficienti!$B$6*$A7)+Coefficienti!$B$7)*(1-Parametri!$B$3))*(1+Parametri!$B$4)+Ferramenta!$D$14+Coefficienti!$B$8*Parametri!$B$5,2)*(1+Parametri!$B$6),2)</f>
        <v>2118.88</v>
      </c>
      <c r="K7" s="4" t="n">
        <f aca="false">ROUND(ROUND(((Coefficienti!$B$1+Coefficienti!$B$2*K$2+Coefficienti!$B$3*$A7)*Parametri!$B$1*(1-Parametri!$B$2)+((Coefficienti!$B$4+Coefficienti!$B$5*K$2+Coefficienti!$B$6*$A7)+Coefficienti!$B$7)*(1-Parametri!$B$3))*(1+Parametri!$B$4)+Ferramenta!$D$14+Coefficienti!$B$8*Parametri!$B$5,2)*(1+Parametri!$B$6),2)</f>
        <v>2138.82</v>
      </c>
      <c r="L7" s="4" t="n">
        <f aca="false">ROUND(ROUND(((Coefficienti!$B$1+Coefficienti!$B$2*L$2+Coefficienti!$B$3*$A7)*Parametri!$B$1*(1-Parametri!$B$2)+((Coefficienti!$B$4+Coefficienti!$B$5*L$2+Coefficienti!$B$6*$A7)+Coefficienti!$B$7)*(1-Parametri!$B$3))*(1+Parametri!$B$4)+Ferramenta!$D$14+Coefficienti!$B$8*Parametri!$B$5,2)*(1+Parametri!$B$6),2)</f>
        <v>2158.79</v>
      </c>
    </row>
    <row r="8" customFormat="false" ht="15" hidden="false" customHeight="false" outlineLevel="0" collapsed="false">
      <c r="A8" s="2" t="n">
        <v>2400</v>
      </c>
      <c r="B8" s="4" t="n">
        <f aca="false">ROUND(ROUND(((Coefficienti!$B$1+Coefficienti!$B$2*B$2+Coefficienti!$B$3*$A8)*Parametri!$B$1*(1-Parametri!$B$2)+((Coefficienti!$B$4+Coefficienti!$B$5*B$2+Coefficienti!$B$6*$A8)+Coefficienti!$B$7)*(1-Parametri!$B$3))*(1+Parametri!$B$4)+Ferramenta!$D$14+Coefficienti!$B$8*Parametri!$B$5,2)*(1+Parametri!$B$6),2)</f>
        <v>1991.43</v>
      </c>
      <c r="C8" s="4" t="n">
        <f aca="false">ROUND(ROUND(((Coefficienti!$B$1+Coefficienti!$B$2*C$2+Coefficienti!$B$3*$A8)*Parametri!$B$1*(1-Parametri!$B$2)+((Coefficienti!$B$4+Coefficienti!$B$5*C$2+Coefficienti!$B$6*$A8)+Coefficienti!$B$7)*(1-Parametri!$B$3))*(1+Parametri!$B$4)+Ferramenta!$D$14+Coefficienti!$B$8*Parametri!$B$5,2)*(1+Parametri!$B$6),2)</f>
        <v>2011.4</v>
      </c>
      <c r="D8" s="4" t="n">
        <f aca="false">ROUND(ROUND(((Coefficienti!$B$1+Coefficienti!$B$2*D$2+Coefficienti!$B$3*$A8)*Parametri!$B$1*(1-Parametri!$B$2)+((Coefficienti!$B$4+Coefficienti!$B$5*D$2+Coefficienti!$B$6*$A8)+Coefficienti!$B$7)*(1-Parametri!$B$3))*(1+Parametri!$B$4)+Ferramenta!$D$14+Coefficienti!$B$8*Parametri!$B$5,2)*(1+Parametri!$B$6),2)</f>
        <v>2031.34</v>
      </c>
      <c r="E8" s="4" t="n">
        <f aca="false">ROUND(ROUND(((Coefficienti!$B$1+Coefficienti!$B$2*E$2+Coefficienti!$B$3*$A8)*Parametri!$B$1*(1-Parametri!$B$2)+((Coefficienti!$B$4+Coefficienti!$B$5*E$2+Coefficienti!$B$6*$A8)+Coefficienti!$B$7)*(1-Parametri!$B$3))*(1+Parametri!$B$4)+Ferramenta!$D$14+Coefficienti!$B$8*Parametri!$B$5,2)*(1+Parametri!$B$6),2)</f>
        <v>2051.31</v>
      </c>
      <c r="F8" s="4" t="n">
        <f aca="false">ROUND(ROUND(((Coefficienti!$B$1+Coefficienti!$B$2*F$2+Coefficienti!$B$3*$A8)*Parametri!$B$1*(1-Parametri!$B$2)+((Coefficienti!$B$4+Coefficienti!$B$5*F$2+Coefficienti!$B$6*$A8)+Coefficienti!$B$7)*(1-Parametri!$B$3))*(1+Parametri!$B$4)+Ferramenta!$D$14+Coefficienti!$B$8*Parametri!$B$5,2)*(1+Parametri!$B$6),2)</f>
        <v>2071.25</v>
      </c>
      <c r="G8" s="4" t="n">
        <f aca="false">ROUND(ROUND(((Coefficienti!$B$1+Coefficienti!$B$2*G$2+Coefficienti!$B$3*$A8)*Parametri!$B$1*(1-Parametri!$B$2)+((Coefficienti!$B$4+Coefficienti!$B$5*G$2+Coefficienti!$B$6*$A8)+Coefficienti!$B$7)*(1-Parametri!$B$3))*(1+Parametri!$B$4)+Ferramenta!$D$14+Coefficienti!$B$8*Parametri!$B$5,2)*(1+Parametri!$B$6),2)</f>
        <v>2091.22</v>
      </c>
      <c r="H8" s="4" t="n">
        <f aca="false">ROUND(ROUND(((Coefficienti!$B$1+Coefficienti!$B$2*H$2+Coefficienti!$B$3*$A8)*Parametri!$B$1*(1-Parametri!$B$2)+((Coefficienti!$B$4+Coefficienti!$B$5*H$2+Coefficienti!$B$6*$A8)+Coefficienti!$B$7)*(1-Parametri!$B$3))*(1+Parametri!$B$4)+Ferramenta!$D$14+Coefficienti!$B$8*Parametri!$B$5,2)*(1+Parametri!$B$6),2)</f>
        <v>2111.15</v>
      </c>
      <c r="I8" s="4" t="n">
        <f aca="false">ROUND(ROUND(((Coefficienti!$B$1+Coefficienti!$B$2*I$2+Coefficienti!$B$3*$A8)*Parametri!$B$1*(1-Parametri!$B$2)+((Coefficienti!$B$4+Coefficienti!$B$5*I$2+Coefficienti!$B$6*$A8)+Coefficienti!$B$7)*(1-Parametri!$B$3))*(1+Parametri!$B$4)+Ferramenta!$D$14+Coefficienti!$B$8*Parametri!$B$5,2)*(1+Parametri!$B$6),2)</f>
        <v>2131.12</v>
      </c>
      <c r="J8" s="4" t="n">
        <f aca="false">ROUND(ROUND(((Coefficienti!$B$1+Coefficienti!$B$2*J$2+Coefficienti!$B$3*$A8)*Parametri!$B$1*(1-Parametri!$B$2)+((Coefficienti!$B$4+Coefficienti!$B$5*J$2+Coefficienti!$B$6*$A8)+Coefficienti!$B$7)*(1-Parametri!$B$3))*(1+Parametri!$B$4)+Ferramenta!$D$14+Coefficienti!$B$8*Parametri!$B$5,2)*(1+Parametri!$B$6),2)</f>
        <v>2151.06</v>
      </c>
      <c r="K8" s="4" t="n">
        <f aca="false">ROUND(ROUND(((Coefficienti!$B$1+Coefficienti!$B$2*K$2+Coefficienti!$B$3*$A8)*Parametri!$B$1*(1-Parametri!$B$2)+((Coefficienti!$B$4+Coefficienti!$B$5*K$2+Coefficienti!$B$6*$A8)+Coefficienti!$B$7)*(1-Parametri!$B$3))*(1+Parametri!$B$4)+Ferramenta!$D$14+Coefficienti!$B$8*Parametri!$B$5,2)*(1+Parametri!$B$6),2)</f>
        <v>2171.03</v>
      </c>
      <c r="L8" s="4" t="n">
        <f aca="false">ROUND(ROUND(((Coefficienti!$B$1+Coefficienti!$B$2*L$2+Coefficienti!$B$3*$A8)*Parametri!$B$1*(1-Parametri!$B$2)+((Coefficienti!$B$4+Coefficienti!$B$5*L$2+Coefficienti!$B$6*$A8)+Coefficienti!$B$7)*(1-Parametri!$B$3))*(1+Parametri!$B$4)+Ferramenta!$D$14+Coefficienti!$B$8*Parametri!$B$5,2)*(1+Parametri!$B$6),2)</f>
        <v>2190.97</v>
      </c>
    </row>
    <row r="9" customFormat="false" ht="15" hidden="false" customHeight="false" outlineLevel="0" collapsed="false">
      <c r="A9" s="2" t="n">
        <v>2500</v>
      </c>
      <c r="B9" s="4" t="n">
        <f aca="false">ROUND(ROUND(((Coefficienti!$B$1+Coefficienti!$B$2*B$2+Coefficienti!$B$3*$A9)*Parametri!$B$1*(1-Parametri!$B$2)+((Coefficienti!$B$4+Coefficienti!$B$5*B$2+Coefficienti!$B$6*$A9)+Coefficienti!$B$7)*(1-Parametri!$B$3))*(1+Parametri!$B$4)+Ferramenta!$D$14+Coefficienti!$B$8*Parametri!$B$5,2)*(1+Parametri!$B$6),2)</f>
        <v>2023.64</v>
      </c>
      <c r="C9" s="4" t="n">
        <f aca="false">ROUND(ROUND(((Coefficienti!$B$1+Coefficienti!$B$2*C$2+Coefficienti!$B$3*$A9)*Parametri!$B$1*(1-Parametri!$B$2)+((Coefficienti!$B$4+Coefficienti!$B$5*C$2+Coefficienti!$B$6*$A9)+Coefficienti!$B$7)*(1-Parametri!$B$3))*(1+Parametri!$B$4)+Ferramenta!$D$14+Coefficienti!$B$8*Parametri!$B$5,2)*(1+Parametri!$B$6),2)</f>
        <v>2043.58</v>
      </c>
      <c r="D9" s="4" t="n">
        <f aca="false">ROUND(ROUND(((Coefficienti!$B$1+Coefficienti!$B$2*D$2+Coefficienti!$B$3*$A9)*Parametri!$B$1*(1-Parametri!$B$2)+((Coefficienti!$B$4+Coefficienti!$B$5*D$2+Coefficienti!$B$6*$A9)+Coefficienti!$B$7)*(1-Parametri!$B$3))*(1+Parametri!$B$4)+Ferramenta!$D$14+Coefficienti!$B$8*Parametri!$B$5,2)*(1+Parametri!$B$6),2)</f>
        <v>2063.55</v>
      </c>
      <c r="E9" s="4" t="n">
        <f aca="false">ROUND(ROUND(((Coefficienti!$B$1+Coefficienti!$B$2*E$2+Coefficienti!$B$3*$A9)*Parametri!$B$1*(1-Parametri!$B$2)+((Coefficienti!$B$4+Coefficienti!$B$5*E$2+Coefficienti!$B$6*$A9)+Coefficienti!$B$7)*(1-Parametri!$B$3))*(1+Parametri!$B$4)+Ferramenta!$D$14+Coefficienti!$B$8*Parametri!$B$5,2)*(1+Parametri!$B$6),2)</f>
        <v>2083.48</v>
      </c>
      <c r="F9" s="4" t="n">
        <f aca="false">ROUND(ROUND(((Coefficienti!$B$1+Coefficienti!$B$2*F$2+Coefficienti!$B$3*$A9)*Parametri!$B$1*(1-Parametri!$B$2)+((Coefficienti!$B$4+Coefficienti!$B$5*F$2+Coefficienti!$B$6*$A9)+Coefficienti!$B$7)*(1-Parametri!$B$3))*(1+Parametri!$B$4)+Ferramenta!$D$14+Coefficienti!$B$8*Parametri!$B$5,2)*(1+Parametri!$B$6),2)</f>
        <v>2103.45</v>
      </c>
      <c r="G9" s="4" t="n">
        <f aca="false">ROUND(ROUND(((Coefficienti!$B$1+Coefficienti!$B$2*G$2+Coefficienti!$B$3*$A9)*Parametri!$B$1*(1-Parametri!$B$2)+((Coefficienti!$B$4+Coefficienti!$B$5*G$2+Coefficienti!$B$6*$A9)+Coefficienti!$B$7)*(1-Parametri!$B$3))*(1+Parametri!$B$4)+Ferramenta!$D$14+Coefficienti!$B$8*Parametri!$B$5,2)*(1+Parametri!$B$6),2)</f>
        <v>2123.39</v>
      </c>
      <c r="H9" s="4" t="n">
        <f aca="false">ROUND(ROUND(((Coefficienti!$B$1+Coefficienti!$B$2*H$2+Coefficienti!$B$3*$A9)*Parametri!$B$1*(1-Parametri!$B$2)+((Coefficienti!$B$4+Coefficienti!$B$5*H$2+Coefficienti!$B$6*$A9)+Coefficienti!$B$7)*(1-Parametri!$B$3))*(1+Parametri!$B$4)+Ferramenta!$D$14+Coefficienti!$B$8*Parametri!$B$5,2)*(1+Parametri!$B$6),2)</f>
        <v>2143.36</v>
      </c>
      <c r="I9" s="4" t="n">
        <f aca="false">ROUND(ROUND(((Coefficienti!$B$1+Coefficienti!$B$2*I$2+Coefficienti!$B$3*$A9)*Parametri!$B$1*(1-Parametri!$B$2)+((Coefficienti!$B$4+Coefficienti!$B$5*I$2+Coefficienti!$B$6*$A9)+Coefficienti!$B$7)*(1-Parametri!$B$3))*(1+Parametri!$B$4)+Ferramenta!$D$14+Coefficienti!$B$8*Parametri!$B$5,2)*(1+Parametri!$B$6),2)</f>
        <v>2163.3</v>
      </c>
      <c r="J9" s="4" t="n">
        <f aca="false">ROUND(ROUND(((Coefficienti!$B$1+Coefficienti!$B$2*J$2+Coefficienti!$B$3*$A9)*Parametri!$B$1*(1-Parametri!$B$2)+((Coefficienti!$B$4+Coefficienti!$B$5*J$2+Coefficienti!$B$6*$A9)+Coefficienti!$B$7)*(1-Parametri!$B$3))*(1+Parametri!$B$4)+Ferramenta!$D$14+Coefficienti!$B$8*Parametri!$B$5,2)*(1+Parametri!$B$6),2)</f>
        <v>2183.27</v>
      </c>
      <c r="K9" s="4" t="n">
        <f aca="false">ROUND(ROUND(((Coefficienti!$B$1+Coefficienti!$B$2*K$2+Coefficienti!$B$3*$A9)*Parametri!$B$1*(1-Parametri!$B$2)+((Coefficienti!$B$4+Coefficienti!$B$5*K$2+Coefficienti!$B$6*$A9)+Coefficienti!$B$7)*(1-Parametri!$B$3))*(1+Parametri!$B$4)+Ferramenta!$D$14+Coefficienti!$B$8*Parametri!$B$5,2)*(1+Parametri!$B$6),2)</f>
        <v>2203.21</v>
      </c>
      <c r="L9" s="4" t="n">
        <f aca="false">ROUND(ROUND(((Coefficienti!$B$1+Coefficienti!$B$2*L$2+Coefficienti!$B$3*$A9)*Parametri!$B$1*(1-Parametri!$B$2)+((Coefficienti!$B$4+Coefficienti!$B$5*L$2+Coefficienti!$B$6*$A9)+Coefficienti!$B$7)*(1-Parametri!$B$3))*(1+Parametri!$B$4)+Ferramenta!$D$14+Coefficienti!$B$8*Parametri!$B$5,2)*(1+Parametri!$B$6),2)</f>
        <v>2223.18</v>
      </c>
    </row>
    <row r="10" customFormat="false" ht="15" hidden="false" customHeight="false" outlineLevel="0" collapsed="false">
      <c r="A10" s="2" t="n">
        <v>2600</v>
      </c>
      <c r="B10" s="4" t="n">
        <f aca="false">ROUND(ROUND(((Coefficienti!$B$1+Coefficienti!$B$2*B$2+Coefficienti!$B$3*$A10)*Parametri!$B$1*(1-Parametri!$B$2)+((Coefficienti!$B$4+Coefficienti!$B$5*B$2+Coefficienti!$B$6*$A10)+Coefficienti!$B$7)*(1-Parametri!$B$3))*(1+Parametri!$B$4)+Ferramenta!$D$14+Coefficienti!$B$8*Parametri!$B$5,2)*(1+Parametri!$B$6),2)</f>
        <v>2055.82</v>
      </c>
      <c r="C10" s="4" t="n">
        <f aca="false">ROUND(ROUND(((Coefficienti!$B$1+Coefficienti!$B$2*C$2+Coefficienti!$B$3*$A10)*Parametri!$B$1*(1-Parametri!$B$2)+((Coefficienti!$B$4+Coefficienti!$B$5*C$2+Coefficienti!$B$6*$A10)+Coefficienti!$B$7)*(1-Parametri!$B$3))*(1+Parametri!$B$4)+Ferramenta!$D$14+Coefficienti!$B$8*Parametri!$B$5,2)*(1+Parametri!$B$6),2)</f>
        <v>2075.78</v>
      </c>
      <c r="D10" s="4" t="n">
        <f aca="false">ROUND(ROUND(((Coefficienti!$B$1+Coefficienti!$B$2*D$2+Coefficienti!$B$3*$A10)*Parametri!$B$1*(1-Parametri!$B$2)+((Coefficienti!$B$4+Coefficienti!$B$5*D$2+Coefficienti!$B$6*$A10)+Coefficienti!$B$7)*(1-Parametri!$B$3))*(1+Parametri!$B$4)+Ferramenta!$D$14+Coefficienti!$B$8*Parametri!$B$5,2)*(1+Parametri!$B$6),2)</f>
        <v>2095.72</v>
      </c>
      <c r="E10" s="4" t="n">
        <f aca="false">ROUND(ROUND(((Coefficienti!$B$1+Coefficienti!$B$2*E$2+Coefficienti!$B$3*$A10)*Parametri!$B$1*(1-Parametri!$B$2)+((Coefficienti!$B$4+Coefficienti!$B$5*E$2+Coefficienti!$B$6*$A10)+Coefficienti!$B$7)*(1-Parametri!$B$3))*(1+Parametri!$B$4)+Ferramenta!$D$14+Coefficienti!$B$8*Parametri!$B$5,2)*(1+Parametri!$B$6),2)</f>
        <v>2115.69</v>
      </c>
      <c r="F10" s="4" t="n">
        <f aca="false">ROUND(ROUND(((Coefficienti!$B$1+Coefficienti!$B$2*F$2+Coefficienti!$B$3*$A10)*Parametri!$B$1*(1-Parametri!$B$2)+((Coefficienti!$B$4+Coefficienti!$B$5*F$2+Coefficienti!$B$6*$A10)+Coefficienti!$B$7)*(1-Parametri!$B$3))*(1+Parametri!$B$4)+Ferramenta!$D$14+Coefficienti!$B$8*Parametri!$B$5,2)*(1+Parametri!$B$6),2)</f>
        <v>2135.63</v>
      </c>
      <c r="G10" s="4" t="n">
        <f aca="false">ROUND(ROUND(((Coefficienti!$B$1+Coefficienti!$B$2*G$2+Coefficienti!$B$3*$A10)*Parametri!$B$1*(1-Parametri!$B$2)+((Coefficienti!$B$4+Coefficienti!$B$5*G$2+Coefficienti!$B$6*$A10)+Coefficienti!$B$7)*(1-Parametri!$B$3))*(1+Parametri!$B$4)+Ferramenta!$D$14+Coefficienti!$B$8*Parametri!$B$5,2)*(1+Parametri!$B$6),2)</f>
        <v>2155.6</v>
      </c>
      <c r="H10" s="4" t="n">
        <f aca="false">ROUND(ROUND(((Coefficienti!$B$1+Coefficienti!$B$2*H$2+Coefficienti!$B$3*$A10)*Parametri!$B$1*(1-Parametri!$B$2)+((Coefficienti!$B$4+Coefficienti!$B$5*H$2+Coefficienti!$B$6*$A10)+Coefficienti!$B$7)*(1-Parametri!$B$3))*(1+Parametri!$B$4)+Ferramenta!$D$14+Coefficienti!$B$8*Parametri!$B$5,2)*(1+Parametri!$B$6),2)</f>
        <v>2175.54</v>
      </c>
      <c r="I10" s="4" t="n">
        <f aca="false">ROUND(ROUND(((Coefficienti!$B$1+Coefficienti!$B$2*I$2+Coefficienti!$B$3*$A10)*Parametri!$B$1*(1-Parametri!$B$2)+((Coefficienti!$B$4+Coefficienti!$B$5*I$2+Coefficienti!$B$6*$A10)+Coefficienti!$B$7)*(1-Parametri!$B$3))*(1+Parametri!$B$4)+Ferramenta!$D$14+Coefficienti!$B$8*Parametri!$B$5,2)*(1+Parametri!$B$6),2)</f>
        <v>2195.51</v>
      </c>
      <c r="J10" s="4" t="n">
        <f aca="false">ROUND(ROUND(((Coefficienti!$B$1+Coefficienti!$B$2*J$2+Coefficienti!$B$3*$A10)*Parametri!$B$1*(1-Parametri!$B$2)+((Coefficienti!$B$4+Coefficienti!$B$5*J$2+Coefficienti!$B$6*$A10)+Coefficienti!$B$7)*(1-Parametri!$B$3))*(1+Parametri!$B$4)+Ferramenta!$D$14+Coefficienti!$B$8*Parametri!$B$5,2)*(1+Parametri!$B$6),2)</f>
        <v>2215.45</v>
      </c>
      <c r="K10" s="4" t="n">
        <f aca="false">ROUND(ROUND(((Coefficienti!$B$1+Coefficienti!$B$2*K$2+Coefficienti!$B$3*$A10)*Parametri!$B$1*(1-Parametri!$B$2)+((Coefficienti!$B$4+Coefficienti!$B$5*K$2+Coefficienti!$B$6*$A10)+Coefficienti!$B$7)*(1-Parametri!$B$3))*(1+Parametri!$B$4)+Ferramenta!$D$14+Coefficienti!$B$8*Parametri!$B$5,2)*(1+Parametri!$B$6),2)</f>
        <v>2235.41</v>
      </c>
      <c r="L10" s="4" t="n">
        <f aca="false">ROUND(ROUND(((Coefficienti!$B$1+Coefficienti!$B$2*L$2+Coefficienti!$B$3*$A10)*Parametri!$B$1*(1-Parametri!$B$2)+((Coefficienti!$B$4+Coefficienti!$B$5*L$2+Coefficienti!$B$6*$A10)+Coefficienti!$B$7)*(1-Parametri!$B$3))*(1+Parametri!$B$4)+Ferramenta!$D$14+Coefficienti!$B$8*Parametri!$B$5,2)*(1+Parametri!$B$6),2)</f>
        <v>2255.35</v>
      </c>
    </row>
    <row r="11" customFormat="false" ht="15" hidden="false" customHeight="false" outlineLevel="0" collapsed="false">
      <c r="A11" s="2" t="n">
        <v>2700</v>
      </c>
      <c r="B11" s="4" t="n">
        <f aca="false">ROUND(ROUND(((Coefficienti!$B$1+Coefficienti!$B$2*B$2+Coefficienti!$B$3*$A11)*Parametri!$B$1*(1-Parametri!$B$2)+((Coefficienti!$B$4+Coefficienti!$B$5*B$2+Coefficienti!$B$6*$A11)+Coefficienti!$B$7)*(1-Parametri!$B$3))*(1+Parametri!$B$4)+Ferramenta!$D$14+Coefficienti!$B$8*Parametri!$B$5,2)*(1+Parametri!$B$6),2)</f>
        <v>2088.02</v>
      </c>
      <c r="C11" s="4" t="n">
        <f aca="false">ROUND(ROUND(((Coefficienti!$B$1+Coefficienti!$B$2*C$2+Coefficienti!$B$3*$A11)*Parametri!$B$1*(1-Parametri!$B$2)+((Coefficienti!$B$4+Coefficienti!$B$5*C$2+Coefficienti!$B$6*$A11)+Coefficienti!$B$7)*(1-Parametri!$B$3))*(1+Parametri!$B$4)+Ferramenta!$D$14+Coefficienti!$B$8*Parametri!$B$5,2)*(1+Parametri!$B$6),2)</f>
        <v>2107.96</v>
      </c>
      <c r="D11" s="4" t="n">
        <f aca="false">ROUND(ROUND(((Coefficienti!$B$1+Coefficienti!$B$2*D$2+Coefficienti!$B$3*$A11)*Parametri!$B$1*(1-Parametri!$B$2)+((Coefficienti!$B$4+Coefficienti!$B$5*D$2+Coefficienti!$B$6*$A11)+Coefficienti!$B$7)*(1-Parametri!$B$3))*(1+Parametri!$B$4)+Ferramenta!$D$14+Coefficienti!$B$8*Parametri!$B$5,2)*(1+Parametri!$B$6),2)</f>
        <v>2127.93</v>
      </c>
      <c r="E11" s="4" t="n">
        <f aca="false">ROUND(ROUND(((Coefficienti!$B$1+Coefficienti!$B$2*E$2+Coefficienti!$B$3*$A11)*Parametri!$B$1*(1-Parametri!$B$2)+((Coefficienti!$B$4+Coefficienti!$B$5*E$2+Coefficienti!$B$6*$A11)+Coefficienti!$B$7)*(1-Parametri!$B$3))*(1+Parametri!$B$4)+Ferramenta!$D$14+Coefficienti!$B$8*Parametri!$B$5,2)*(1+Parametri!$B$6),2)</f>
        <v>2147.87</v>
      </c>
      <c r="F11" s="4" t="n">
        <f aca="false">ROUND(ROUND(((Coefficienti!$B$1+Coefficienti!$B$2*F$2+Coefficienti!$B$3*$A11)*Parametri!$B$1*(1-Parametri!$B$2)+((Coefficienti!$B$4+Coefficienti!$B$5*F$2+Coefficienti!$B$6*$A11)+Coefficienti!$B$7)*(1-Parametri!$B$3))*(1+Parametri!$B$4)+Ferramenta!$D$14+Coefficienti!$B$8*Parametri!$B$5,2)*(1+Parametri!$B$6),2)</f>
        <v>2167.84</v>
      </c>
      <c r="G11" s="4" t="n">
        <f aca="false">ROUND(ROUND(((Coefficienti!$B$1+Coefficienti!$B$2*G$2+Coefficienti!$B$3*$A11)*Parametri!$B$1*(1-Parametri!$B$2)+((Coefficienti!$B$4+Coefficienti!$B$5*G$2+Coefficienti!$B$6*$A11)+Coefficienti!$B$7)*(1-Parametri!$B$3))*(1+Parametri!$B$4)+Ferramenta!$D$14+Coefficienti!$B$8*Parametri!$B$5,2)*(1+Parametri!$B$6),2)</f>
        <v>2187.78</v>
      </c>
      <c r="H11" s="4" t="n">
        <f aca="false">ROUND(ROUND(((Coefficienti!$B$1+Coefficienti!$B$2*H$2+Coefficienti!$B$3*$A11)*Parametri!$B$1*(1-Parametri!$B$2)+((Coefficienti!$B$4+Coefficienti!$B$5*H$2+Coefficienti!$B$6*$A11)+Coefficienti!$B$7)*(1-Parametri!$B$3))*(1+Parametri!$B$4)+Ferramenta!$D$14+Coefficienti!$B$8*Parametri!$B$5,2)*(1+Parametri!$B$6),2)</f>
        <v>2207.75</v>
      </c>
      <c r="I11" s="4" t="n">
        <f aca="false">ROUND(ROUND(((Coefficienti!$B$1+Coefficienti!$B$2*I$2+Coefficienti!$B$3*$A11)*Parametri!$B$1*(1-Parametri!$B$2)+((Coefficienti!$B$4+Coefficienti!$B$5*I$2+Coefficienti!$B$6*$A11)+Coefficienti!$B$7)*(1-Parametri!$B$3))*(1+Parametri!$B$4)+Ferramenta!$D$14+Coefficienti!$B$8*Parametri!$B$5,2)*(1+Parametri!$B$6),2)</f>
        <v>2227.68</v>
      </c>
      <c r="J11" s="4" t="n">
        <f aca="false">ROUND(ROUND(((Coefficienti!$B$1+Coefficienti!$B$2*J$2+Coefficienti!$B$3*$A11)*Parametri!$B$1*(1-Parametri!$B$2)+((Coefficienti!$B$4+Coefficienti!$B$5*J$2+Coefficienti!$B$6*$A11)+Coefficienti!$B$7)*(1-Parametri!$B$3))*(1+Parametri!$B$4)+Ferramenta!$D$14+Coefficienti!$B$8*Parametri!$B$5,2)*(1+Parametri!$B$6),2)</f>
        <v>2247.65</v>
      </c>
      <c r="K11" s="4" t="n">
        <f aca="false">ROUND(ROUND(((Coefficienti!$B$1+Coefficienti!$B$2*K$2+Coefficienti!$B$3*$A11)*Parametri!$B$1*(1-Parametri!$B$2)+((Coefficienti!$B$4+Coefficienti!$B$5*K$2+Coefficienti!$B$6*$A11)+Coefficienti!$B$7)*(1-Parametri!$B$3))*(1+Parametri!$B$4)+Ferramenta!$D$14+Coefficienti!$B$8*Parametri!$B$5,2)*(1+Parametri!$B$6),2)</f>
        <v>2267.59</v>
      </c>
      <c r="L11" s="4" t="n">
        <f aca="false">ROUND(ROUND(((Coefficienti!$B$1+Coefficienti!$B$2*L$2+Coefficienti!$B$3*$A11)*Parametri!$B$1*(1-Parametri!$B$2)+((Coefficienti!$B$4+Coefficienti!$B$5*L$2+Coefficienti!$B$6*$A11)+Coefficienti!$B$7)*(1-Parametri!$B$3))*(1+Parametri!$B$4)+Ferramenta!$D$14+Coefficienti!$B$8*Parametri!$B$5,2)*(1+Parametri!$B$6),2)</f>
        <v>2287.56</v>
      </c>
    </row>
    <row r="14" customFormat="false" ht="15" hidden="false" customHeight="false" outlineLevel="0" collapsed="false">
      <c r="A14" s="1" t="s">
        <v>2</v>
      </c>
    </row>
    <row r="15" customFormat="false" ht="15" hidden="false" customHeight="false" outlineLevel="0" collapsed="false">
      <c r="A15" s="2" t="s">
        <v>1</v>
      </c>
      <c r="B15" s="3" t="n">
        <v>800</v>
      </c>
      <c r="C15" s="3" t="n">
        <v>900</v>
      </c>
      <c r="D15" s="3" t="n">
        <v>1000</v>
      </c>
      <c r="E15" s="3" t="n">
        <v>1100</v>
      </c>
      <c r="F15" s="3" t="n">
        <v>1200</v>
      </c>
      <c r="G15" s="3" t="n">
        <v>1300</v>
      </c>
      <c r="H15" s="3" t="n">
        <v>1400</v>
      </c>
      <c r="I15" s="3" t="n">
        <v>1500</v>
      </c>
      <c r="J15" s="3" t="n">
        <v>1600</v>
      </c>
      <c r="K15" s="3" t="n">
        <v>1700</v>
      </c>
      <c r="L15" s="3" t="n">
        <v>1800</v>
      </c>
    </row>
    <row r="16" customFormat="false" ht="15" hidden="false" customHeight="false" outlineLevel="0" collapsed="false">
      <c r="A16" s="2" t="n">
        <v>1900</v>
      </c>
      <c r="B16" s="4" t="n">
        <f aca="false">ROUND(((Coefficienti!$B$1+Coefficienti!$B$2*B$15+Coefficienti!$B$3*$A16)*Parametri!$B$1*(1-Parametri!$B$2)+((Coefficienti!$B$4+Coefficienti!$B$5*B$15+Coefficienti!$B$6*$A16)+Coefficienti!$B$7)*(1-Parametri!$B$3))*(1+Parametri!$B$4)+Ferramenta!$D$14+Coefficienti!$B$8*Parametri!$B$5,2)</f>
        <v>584.82</v>
      </c>
      <c r="C16" s="4" t="n">
        <f aca="false">ROUND(((Coefficienti!$B$1+Coefficienti!$B$2*C$15+Coefficienti!$B$3*$A16)*Parametri!$B$1*(1-Parametri!$B$2)+((Coefficienti!$B$4+Coefficienti!$B$5*C$15+Coefficienti!$B$6*$A16)+Coefficienti!$B$7)*(1-Parametri!$B$3))*(1+Parametri!$B$4)+Ferramenta!$D$14+Coefficienti!$B$8*Parametri!$B$5,2)</f>
        <v>591.2</v>
      </c>
      <c r="D16" s="4" t="n">
        <f aca="false">ROUND(((Coefficienti!$B$1+Coefficienti!$B$2*D$15+Coefficienti!$B$3*$A16)*Parametri!$B$1*(1-Parametri!$B$2)+((Coefficienti!$B$4+Coefficienti!$B$5*D$15+Coefficienti!$B$6*$A16)+Coefficienti!$B$7)*(1-Parametri!$B$3))*(1+Parametri!$B$4)+Ferramenta!$D$14+Coefficienti!$B$8*Parametri!$B$5,2)</f>
        <v>597.57</v>
      </c>
      <c r="E16" s="4" t="n">
        <f aca="false">ROUND(((Coefficienti!$B$1+Coefficienti!$B$2*E$15+Coefficienti!$B$3*$A16)*Parametri!$B$1*(1-Parametri!$B$2)+((Coefficienti!$B$4+Coefficienti!$B$5*E$15+Coefficienti!$B$6*$A16)+Coefficienti!$B$7)*(1-Parametri!$B$3))*(1+Parametri!$B$4)+Ferramenta!$D$14+Coefficienti!$B$8*Parametri!$B$5,2)</f>
        <v>603.95</v>
      </c>
      <c r="F16" s="4" t="n">
        <f aca="false">ROUND(((Coefficienti!$B$1+Coefficienti!$B$2*F$15+Coefficienti!$B$3*$A16)*Parametri!$B$1*(1-Parametri!$B$2)+((Coefficienti!$B$4+Coefficienti!$B$5*F$15+Coefficienti!$B$6*$A16)+Coefficienti!$B$7)*(1-Parametri!$B$3))*(1+Parametri!$B$4)+Ferramenta!$D$14+Coefficienti!$B$8*Parametri!$B$5,2)</f>
        <v>610.32</v>
      </c>
      <c r="G16" s="4" t="n">
        <f aca="false">ROUND(((Coefficienti!$B$1+Coefficienti!$B$2*G$15+Coefficienti!$B$3*$A16)*Parametri!$B$1*(1-Parametri!$B$2)+((Coefficienti!$B$4+Coefficienti!$B$5*G$15+Coefficienti!$B$6*$A16)+Coefficienti!$B$7)*(1-Parametri!$B$3))*(1+Parametri!$B$4)+Ferramenta!$D$14+Coefficienti!$B$8*Parametri!$B$5,2)</f>
        <v>616.7</v>
      </c>
      <c r="H16" s="4" t="n">
        <f aca="false">ROUND(((Coefficienti!$B$1+Coefficienti!$B$2*H$15+Coefficienti!$B$3*$A16)*Parametri!$B$1*(1-Parametri!$B$2)+((Coefficienti!$B$4+Coefficienti!$B$5*H$15+Coefficienti!$B$6*$A16)+Coefficienti!$B$7)*(1-Parametri!$B$3))*(1+Parametri!$B$4)+Ferramenta!$D$14+Coefficienti!$B$8*Parametri!$B$5,2)</f>
        <v>623.07</v>
      </c>
      <c r="I16" s="4" t="n">
        <f aca="false">ROUND(((Coefficienti!$B$1+Coefficienti!$B$2*I$15+Coefficienti!$B$3*$A16)*Parametri!$B$1*(1-Parametri!$B$2)+((Coefficienti!$B$4+Coefficienti!$B$5*I$15+Coefficienti!$B$6*$A16)+Coefficienti!$B$7)*(1-Parametri!$B$3))*(1+Parametri!$B$4)+Ferramenta!$D$14+Coefficienti!$B$8*Parametri!$B$5,2)</f>
        <v>629.45</v>
      </c>
      <c r="J16" s="4" t="n">
        <f aca="false">ROUND(((Coefficienti!$B$1+Coefficienti!$B$2*J$15+Coefficienti!$B$3*$A16)*Parametri!$B$1*(1-Parametri!$B$2)+((Coefficienti!$B$4+Coefficienti!$B$5*J$15+Coefficienti!$B$6*$A16)+Coefficienti!$B$7)*(1-Parametri!$B$3))*(1+Parametri!$B$4)+Ferramenta!$D$14+Coefficienti!$B$8*Parametri!$B$5,2)</f>
        <v>635.82</v>
      </c>
      <c r="K16" s="4" t="n">
        <f aca="false">ROUND(((Coefficienti!$B$1+Coefficienti!$B$2*K$15+Coefficienti!$B$3*$A16)*Parametri!$B$1*(1-Parametri!$B$2)+((Coefficienti!$B$4+Coefficienti!$B$5*K$15+Coefficienti!$B$6*$A16)+Coefficienti!$B$7)*(1-Parametri!$B$3))*(1+Parametri!$B$4)+Ferramenta!$D$14+Coefficienti!$B$8*Parametri!$B$5,2)</f>
        <v>642.2</v>
      </c>
      <c r="L16" s="4" t="n">
        <f aca="false">ROUND(((Coefficienti!$B$1+Coefficienti!$B$2*L$15+Coefficienti!$B$3*$A16)*Parametri!$B$1*(1-Parametri!$B$2)+((Coefficienti!$B$4+Coefficienti!$B$5*L$15+Coefficienti!$B$6*$A16)+Coefficienti!$B$7)*(1-Parametri!$B$3))*(1+Parametri!$B$4)+Ferramenta!$D$14+Coefficienti!$B$8*Parametri!$B$5,2)</f>
        <v>648.57</v>
      </c>
    </row>
    <row r="17" customFormat="false" ht="15" hidden="false" customHeight="false" outlineLevel="0" collapsed="false">
      <c r="A17" s="2" t="n">
        <v>2000</v>
      </c>
      <c r="B17" s="4" t="n">
        <f aca="false">ROUND(((Coefficienti!$B$1+Coefficienti!$B$2*B$15+Coefficienti!$B$3*$A17)*Parametri!$B$1*(1-Parametri!$B$2)+((Coefficienti!$B$4+Coefficienti!$B$5*B$15+Coefficienti!$B$6*$A17)+Coefficienti!$B$7)*(1-Parametri!$B$3))*(1+Parametri!$B$4)+Ferramenta!$D$14+Coefficienti!$B$8*Parametri!$B$5,2)</f>
        <v>595.11</v>
      </c>
      <c r="C17" s="4" t="n">
        <f aca="false">ROUND(((Coefficienti!$B$1+Coefficienti!$B$2*C$15+Coefficienti!$B$3*$A17)*Parametri!$B$1*(1-Parametri!$B$2)+((Coefficienti!$B$4+Coefficienti!$B$5*C$15+Coefficienti!$B$6*$A17)+Coefficienti!$B$7)*(1-Parametri!$B$3))*(1+Parametri!$B$4)+Ferramenta!$D$14+Coefficienti!$B$8*Parametri!$B$5,2)</f>
        <v>601.48</v>
      </c>
      <c r="D17" s="4" t="n">
        <f aca="false">ROUND(((Coefficienti!$B$1+Coefficienti!$B$2*D$15+Coefficienti!$B$3*$A17)*Parametri!$B$1*(1-Parametri!$B$2)+((Coefficienti!$B$4+Coefficienti!$B$5*D$15+Coefficienti!$B$6*$A17)+Coefficienti!$B$7)*(1-Parametri!$B$3))*(1+Parametri!$B$4)+Ferramenta!$D$14+Coefficienti!$B$8*Parametri!$B$5,2)</f>
        <v>607.86</v>
      </c>
      <c r="E17" s="4" t="n">
        <f aca="false">ROUND(((Coefficienti!$B$1+Coefficienti!$B$2*E$15+Coefficienti!$B$3*$A17)*Parametri!$B$1*(1-Parametri!$B$2)+((Coefficienti!$B$4+Coefficienti!$B$5*E$15+Coefficienti!$B$6*$A17)+Coefficienti!$B$7)*(1-Parametri!$B$3))*(1+Parametri!$B$4)+Ferramenta!$D$14+Coefficienti!$B$8*Parametri!$B$5,2)</f>
        <v>614.23</v>
      </c>
      <c r="F17" s="4" t="n">
        <f aca="false">ROUND(((Coefficienti!$B$1+Coefficienti!$B$2*F$15+Coefficienti!$B$3*$A17)*Parametri!$B$1*(1-Parametri!$B$2)+((Coefficienti!$B$4+Coefficienti!$B$5*F$15+Coefficienti!$B$6*$A17)+Coefficienti!$B$7)*(1-Parametri!$B$3))*(1+Parametri!$B$4)+Ferramenta!$D$14+Coefficienti!$B$8*Parametri!$B$5,2)</f>
        <v>620.61</v>
      </c>
      <c r="G17" s="4" t="n">
        <f aca="false">ROUND(((Coefficienti!$B$1+Coefficienti!$B$2*G$15+Coefficienti!$B$3*$A17)*Parametri!$B$1*(1-Parametri!$B$2)+((Coefficienti!$B$4+Coefficienti!$B$5*G$15+Coefficienti!$B$6*$A17)+Coefficienti!$B$7)*(1-Parametri!$B$3))*(1+Parametri!$B$4)+Ferramenta!$D$14+Coefficienti!$B$8*Parametri!$B$5,2)</f>
        <v>626.98</v>
      </c>
      <c r="H17" s="4" t="n">
        <f aca="false">ROUND(((Coefficienti!$B$1+Coefficienti!$B$2*H$15+Coefficienti!$B$3*$A17)*Parametri!$B$1*(1-Parametri!$B$2)+((Coefficienti!$B$4+Coefficienti!$B$5*H$15+Coefficienti!$B$6*$A17)+Coefficienti!$B$7)*(1-Parametri!$B$3))*(1+Parametri!$B$4)+Ferramenta!$D$14+Coefficienti!$B$8*Parametri!$B$5,2)</f>
        <v>633.36</v>
      </c>
      <c r="I17" s="4" t="n">
        <f aca="false">ROUND(((Coefficienti!$B$1+Coefficienti!$B$2*I$15+Coefficienti!$B$3*$A17)*Parametri!$B$1*(1-Parametri!$B$2)+((Coefficienti!$B$4+Coefficienti!$B$5*I$15+Coefficienti!$B$6*$A17)+Coefficienti!$B$7)*(1-Parametri!$B$3))*(1+Parametri!$B$4)+Ferramenta!$D$14+Coefficienti!$B$8*Parametri!$B$5,2)</f>
        <v>639.73</v>
      </c>
      <c r="J17" s="4" t="n">
        <f aca="false">ROUND(((Coefficienti!$B$1+Coefficienti!$B$2*J$15+Coefficienti!$B$3*$A17)*Parametri!$B$1*(1-Parametri!$B$2)+((Coefficienti!$B$4+Coefficienti!$B$5*J$15+Coefficienti!$B$6*$A17)+Coefficienti!$B$7)*(1-Parametri!$B$3))*(1+Parametri!$B$4)+Ferramenta!$D$14+Coefficienti!$B$8*Parametri!$B$5,2)</f>
        <v>646.11</v>
      </c>
      <c r="K17" s="4" t="n">
        <f aca="false">ROUND(((Coefficienti!$B$1+Coefficienti!$B$2*K$15+Coefficienti!$B$3*$A17)*Parametri!$B$1*(1-Parametri!$B$2)+((Coefficienti!$B$4+Coefficienti!$B$5*K$15+Coefficienti!$B$6*$A17)+Coefficienti!$B$7)*(1-Parametri!$B$3))*(1+Parametri!$B$4)+Ferramenta!$D$14+Coefficienti!$B$8*Parametri!$B$5,2)</f>
        <v>652.48</v>
      </c>
      <c r="L17" s="4" t="n">
        <f aca="false">ROUND(((Coefficienti!$B$1+Coefficienti!$B$2*L$15+Coefficienti!$B$3*$A17)*Parametri!$B$1*(1-Parametri!$B$2)+((Coefficienti!$B$4+Coefficienti!$B$5*L$15+Coefficienti!$B$6*$A17)+Coefficienti!$B$7)*(1-Parametri!$B$3))*(1+Parametri!$B$4)+Ferramenta!$D$14+Coefficienti!$B$8*Parametri!$B$5,2)</f>
        <v>658.86</v>
      </c>
    </row>
    <row r="18" customFormat="false" ht="15" hidden="false" customHeight="false" outlineLevel="0" collapsed="false">
      <c r="A18" s="2" t="n">
        <v>2100</v>
      </c>
      <c r="B18" s="4" t="n">
        <f aca="false">ROUND(((Coefficienti!$B$1+Coefficienti!$B$2*B$15+Coefficienti!$B$3*$A18)*Parametri!$B$1*(1-Parametri!$B$2)+((Coefficienti!$B$4+Coefficienti!$B$5*B$15+Coefficienti!$B$6*$A18)+Coefficienti!$B$7)*(1-Parametri!$B$3))*(1+Parametri!$B$4)+Ferramenta!$D$14+Coefficienti!$B$8*Parametri!$B$5,2)</f>
        <v>605.39</v>
      </c>
      <c r="C18" s="4" t="n">
        <f aca="false">ROUND(((Coefficienti!$B$1+Coefficienti!$B$2*C$15+Coefficienti!$B$3*$A18)*Parametri!$B$1*(1-Parametri!$B$2)+((Coefficienti!$B$4+Coefficienti!$B$5*C$15+Coefficienti!$B$6*$A18)+Coefficienti!$B$7)*(1-Parametri!$B$3))*(1+Parametri!$B$4)+Ferramenta!$D$14+Coefficienti!$B$8*Parametri!$B$5,2)</f>
        <v>611.77</v>
      </c>
      <c r="D18" s="4" t="n">
        <f aca="false">ROUND(((Coefficienti!$B$1+Coefficienti!$B$2*D$15+Coefficienti!$B$3*$A18)*Parametri!$B$1*(1-Parametri!$B$2)+((Coefficienti!$B$4+Coefficienti!$B$5*D$15+Coefficienti!$B$6*$A18)+Coefficienti!$B$7)*(1-Parametri!$B$3))*(1+Parametri!$B$4)+Ferramenta!$D$14+Coefficienti!$B$8*Parametri!$B$5,2)</f>
        <v>618.14</v>
      </c>
      <c r="E18" s="4" t="n">
        <f aca="false">ROUND(((Coefficienti!$B$1+Coefficienti!$B$2*E$15+Coefficienti!$B$3*$A18)*Parametri!$B$1*(1-Parametri!$B$2)+((Coefficienti!$B$4+Coefficienti!$B$5*E$15+Coefficienti!$B$6*$A18)+Coefficienti!$B$7)*(1-Parametri!$B$3))*(1+Parametri!$B$4)+Ferramenta!$D$14+Coefficienti!$B$8*Parametri!$B$5,2)</f>
        <v>624.52</v>
      </c>
      <c r="F18" s="4" t="n">
        <f aca="false">ROUND(((Coefficienti!$B$1+Coefficienti!$B$2*F$15+Coefficienti!$B$3*$A18)*Parametri!$B$1*(1-Parametri!$B$2)+((Coefficienti!$B$4+Coefficienti!$B$5*F$15+Coefficienti!$B$6*$A18)+Coefficienti!$B$7)*(1-Parametri!$B$3))*(1+Parametri!$B$4)+Ferramenta!$D$14+Coefficienti!$B$8*Parametri!$B$5,2)</f>
        <v>630.89</v>
      </c>
      <c r="G18" s="4" t="n">
        <f aca="false">ROUND(((Coefficienti!$B$1+Coefficienti!$B$2*G$15+Coefficienti!$B$3*$A18)*Parametri!$B$1*(1-Parametri!$B$2)+((Coefficienti!$B$4+Coefficienti!$B$5*G$15+Coefficienti!$B$6*$A18)+Coefficienti!$B$7)*(1-Parametri!$B$3))*(1+Parametri!$B$4)+Ferramenta!$D$14+Coefficienti!$B$8*Parametri!$B$5,2)</f>
        <v>637.27</v>
      </c>
      <c r="H18" s="4" t="n">
        <f aca="false">ROUND(((Coefficienti!$B$1+Coefficienti!$B$2*H$15+Coefficienti!$B$3*$A18)*Parametri!$B$1*(1-Parametri!$B$2)+((Coefficienti!$B$4+Coefficienti!$B$5*H$15+Coefficienti!$B$6*$A18)+Coefficienti!$B$7)*(1-Parametri!$B$3))*(1+Parametri!$B$4)+Ferramenta!$D$14+Coefficienti!$B$8*Parametri!$B$5,2)</f>
        <v>643.64</v>
      </c>
      <c r="I18" s="4" t="n">
        <f aca="false">ROUND(((Coefficienti!$B$1+Coefficienti!$B$2*I$15+Coefficienti!$B$3*$A18)*Parametri!$B$1*(1-Parametri!$B$2)+((Coefficienti!$B$4+Coefficienti!$B$5*I$15+Coefficienti!$B$6*$A18)+Coefficienti!$B$7)*(1-Parametri!$B$3))*(1+Parametri!$B$4)+Ferramenta!$D$14+Coefficienti!$B$8*Parametri!$B$5,2)</f>
        <v>650.02</v>
      </c>
      <c r="J18" s="4" t="n">
        <f aca="false">ROUND(((Coefficienti!$B$1+Coefficienti!$B$2*J$15+Coefficienti!$B$3*$A18)*Parametri!$B$1*(1-Parametri!$B$2)+((Coefficienti!$B$4+Coefficienti!$B$5*J$15+Coefficienti!$B$6*$A18)+Coefficienti!$B$7)*(1-Parametri!$B$3))*(1+Parametri!$B$4)+Ferramenta!$D$14+Coefficienti!$B$8*Parametri!$B$5,2)</f>
        <v>656.39</v>
      </c>
      <c r="K18" s="4" t="n">
        <f aca="false">ROUND(((Coefficienti!$B$1+Coefficienti!$B$2*K$15+Coefficienti!$B$3*$A18)*Parametri!$B$1*(1-Parametri!$B$2)+((Coefficienti!$B$4+Coefficienti!$B$5*K$15+Coefficienti!$B$6*$A18)+Coefficienti!$B$7)*(1-Parametri!$B$3))*(1+Parametri!$B$4)+Ferramenta!$D$14+Coefficienti!$B$8*Parametri!$B$5,2)</f>
        <v>662.77</v>
      </c>
      <c r="L18" s="4" t="n">
        <f aca="false">ROUND(((Coefficienti!$B$1+Coefficienti!$B$2*L$15+Coefficienti!$B$3*$A18)*Parametri!$B$1*(1-Parametri!$B$2)+((Coefficienti!$B$4+Coefficienti!$B$5*L$15+Coefficienti!$B$6*$A18)+Coefficienti!$B$7)*(1-Parametri!$B$3))*(1+Parametri!$B$4)+Ferramenta!$D$14+Coefficienti!$B$8*Parametri!$B$5,2)</f>
        <v>669.14</v>
      </c>
    </row>
    <row r="19" customFormat="false" ht="15" hidden="false" customHeight="false" outlineLevel="0" collapsed="false">
      <c r="A19" s="2" t="n">
        <v>2200</v>
      </c>
      <c r="B19" s="4" t="n">
        <f aca="false">ROUND(((Coefficienti!$B$1+Coefficienti!$B$2*B$15+Coefficienti!$B$3*$A19)*Parametri!$B$1*(1-Parametri!$B$2)+((Coefficienti!$B$4+Coefficienti!$B$5*B$15+Coefficienti!$B$6*$A19)+Coefficienti!$B$7)*(1-Parametri!$B$3))*(1+Parametri!$B$4)+Ferramenta!$D$14+Coefficienti!$B$8*Parametri!$B$5,2)</f>
        <v>615.68</v>
      </c>
      <c r="C19" s="4" t="n">
        <f aca="false">ROUND(((Coefficienti!$B$1+Coefficienti!$B$2*C$15+Coefficienti!$B$3*$A19)*Parametri!$B$1*(1-Parametri!$B$2)+((Coefficienti!$B$4+Coefficienti!$B$5*C$15+Coefficienti!$B$6*$A19)+Coefficienti!$B$7)*(1-Parametri!$B$3))*(1+Parametri!$B$4)+Ferramenta!$D$14+Coefficienti!$B$8*Parametri!$B$5,2)</f>
        <v>622.05</v>
      </c>
      <c r="D19" s="4" t="n">
        <f aca="false">ROUND(((Coefficienti!$B$1+Coefficienti!$B$2*D$15+Coefficienti!$B$3*$A19)*Parametri!$B$1*(1-Parametri!$B$2)+((Coefficienti!$B$4+Coefficienti!$B$5*D$15+Coefficienti!$B$6*$A19)+Coefficienti!$B$7)*(1-Parametri!$B$3))*(1+Parametri!$B$4)+Ferramenta!$D$14+Coefficienti!$B$8*Parametri!$B$5,2)</f>
        <v>628.43</v>
      </c>
      <c r="E19" s="4" t="n">
        <f aca="false">ROUND(((Coefficienti!$B$1+Coefficienti!$B$2*E$15+Coefficienti!$B$3*$A19)*Parametri!$B$1*(1-Parametri!$B$2)+((Coefficienti!$B$4+Coefficienti!$B$5*E$15+Coefficienti!$B$6*$A19)+Coefficienti!$B$7)*(1-Parametri!$B$3))*(1+Parametri!$B$4)+Ferramenta!$D$14+Coefficienti!$B$8*Parametri!$B$5,2)</f>
        <v>634.8</v>
      </c>
      <c r="F19" s="4" t="n">
        <f aca="false">ROUND(((Coefficienti!$B$1+Coefficienti!$B$2*F$15+Coefficienti!$B$3*$A19)*Parametri!$B$1*(1-Parametri!$B$2)+((Coefficienti!$B$4+Coefficienti!$B$5*F$15+Coefficienti!$B$6*$A19)+Coefficienti!$B$7)*(1-Parametri!$B$3))*(1+Parametri!$B$4)+Ferramenta!$D$14+Coefficienti!$B$8*Parametri!$B$5,2)</f>
        <v>641.18</v>
      </c>
      <c r="G19" s="4" t="n">
        <f aca="false">ROUND(((Coefficienti!$B$1+Coefficienti!$B$2*G$15+Coefficienti!$B$3*$A19)*Parametri!$B$1*(1-Parametri!$B$2)+((Coefficienti!$B$4+Coefficienti!$B$5*G$15+Coefficienti!$B$6*$A19)+Coefficienti!$B$7)*(1-Parametri!$B$3))*(1+Parametri!$B$4)+Ferramenta!$D$14+Coefficienti!$B$8*Parametri!$B$5,2)</f>
        <v>647.55</v>
      </c>
      <c r="H19" s="4" t="n">
        <f aca="false">ROUND(((Coefficienti!$B$1+Coefficienti!$B$2*H$15+Coefficienti!$B$3*$A19)*Parametri!$B$1*(1-Parametri!$B$2)+((Coefficienti!$B$4+Coefficienti!$B$5*H$15+Coefficienti!$B$6*$A19)+Coefficienti!$B$7)*(1-Parametri!$B$3))*(1+Parametri!$B$4)+Ferramenta!$D$14+Coefficienti!$B$8*Parametri!$B$5,2)</f>
        <v>653.93</v>
      </c>
      <c r="I19" s="4" t="n">
        <f aca="false">ROUND(((Coefficienti!$B$1+Coefficienti!$B$2*I$15+Coefficienti!$B$3*$A19)*Parametri!$B$1*(1-Parametri!$B$2)+((Coefficienti!$B$4+Coefficienti!$B$5*I$15+Coefficienti!$B$6*$A19)+Coefficienti!$B$7)*(1-Parametri!$B$3))*(1+Parametri!$B$4)+Ferramenta!$D$14+Coefficienti!$B$8*Parametri!$B$5,2)</f>
        <v>660.3</v>
      </c>
      <c r="J19" s="4" t="n">
        <f aca="false">ROUND(((Coefficienti!$B$1+Coefficienti!$B$2*J$15+Coefficienti!$B$3*$A19)*Parametri!$B$1*(1-Parametri!$B$2)+((Coefficienti!$B$4+Coefficienti!$B$5*J$15+Coefficienti!$B$6*$A19)+Coefficienti!$B$7)*(1-Parametri!$B$3))*(1+Parametri!$B$4)+Ferramenta!$D$14+Coefficienti!$B$8*Parametri!$B$5,2)</f>
        <v>666.68</v>
      </c>
      <c r="K19" s="4" t="n">
        <f aca="false">ROUND(((Coefficienti!$B$1+Coefficienti!$B$2*K$15+Coefficienti!$B$3*$A19)*Parametri!$B$1*(1-Parametri!$B$2)+((Coefficienti!$B$4+Coefficienti!$B$5*K$15+Coefficienti!$B$6*$A19)+Coefficienti!$B$7)*(1-Parametri!$B$3))*(1+Parametri!$B$4)+Ferramenta!$D$14+Coefficienti!$B$8*Parametri!$B$5,2)</f>
        <v>673.05</v>
      </c>
      <c r="L19" s="4" t="n">
        <f aca="false">ROUND(((Coefficienti!$B$1+Coefficienti!$B$2*L$15+Coefficienti!$B$3*$A19)*Parametri!$B$1*(1-Parametri!$B$2)+((Coefficienti!$B$4+Coefficienti!$B$5*L$15+Coefficienti!$B$6*$A19)+Coefficienti!$B$7)*(1-Parametri!$B$3))*(1+Parametri!$B$4)+Ferramenta!$D$14+Coefficienti!$B$8*Parametri!$B$5,2)</f>
        <v>679.43</v>
      </c>
    </row>
    <row r="20" customFormat="false" ht="15" hidden="false" customHeight="false" outlineLevel="0" collapsed="false">
      <c r="A20" s="2" t="n">
        <v>2300</v>
      </c>
      <c r="B20" s="4" t="n">
        <f aca="false">ROUND(((Coefficienti!$B$1+Coefficienti!$B$2*B$15+Coefficienti!$B$3*$A20)*Parametri!$B$1*(1-Parametri!$B$2)+((Coefficienti!$B$4+Coefficienti!$B$5*B$15+Coefficienti!$B$6*$A20)+Coefficienti!$B$7)*(1-Parametri!$B$3))*(1+Parametri!$B$4)+Ferramenta!$D$14+Coefficienti!$B$8*Parametri!$B$5,2)</f>
        <v>625.96</v>
      </c>
      <c r="C20" s="4" t="n">
        <f aca="false">ROUND(((Coefficienti!$B$1+Coefficienti!$B$2*C$15+Coefficienti!$B$3*$A20)*Parametri!$B$1*(1-Parametri!$B$2)+((Coefficienti!$B$4+Coefficienti!$B$5*C$15+Coefficienti!$B$6*$A20)+Coefficienti!$B$7)*(1-Parametri!$B$3))*(1+Parametri!$B$4)+Ferramenta!$D$14+Coefficienti!$B$8*Parametri!$B$5,2)</f>
        <v>632.34</v>
      </c>
      <c r="D20" s="4" t="n">
        <f aca="false">ROUND(((Coefficienti!$B$1+Coefficienti!$B$2*D$15+Coefficienti!$B$3*$A20)*Parametri!$B$1*(1-Parametri!$B$2)+((Coefficienti!$B$4+Coefficienti!$B$5*D$15+Coefficienti!$B$6*$A20)+Coefficienti!$B$7)*(1-Parametri!$B$3))*(1+Parametri!$B$4)+Ferramenta!$D$14+Coefficienti!$B$8*Parametri!$B$5,2)</f>
        <v>638.71</v>
      </c>
      <c r="E20" s="4" t="n">
        <f aca="false">ROUND(((Coefficienti!$B$1+Coefficienti!$B$2*E$15+Coefficienti!$B$3*$A20)*Parametri!$B$1*(1-Parametri!$B$2)+((Coefficienti!$B$4+Coefficienti!$B$5*E$15+Coefficienti!$B$6*$A20)+Coefficienti!$B$7)*(1-Parametri!$B$3))*(1+Parametri!$B$4)+Ferramenta!$D$14+Coefficienti!$B$8*Parametri!$B$5,2)</f>
        <v>645.08</v>
      </c>
      <c r="F20" s="4" t="n">
        <f aca="false">ROUND(((Coefficienti!$B$1+Coefficienti!$B$2*F$15+Coefficienti!$B$3*$A20)*Parametri!$B$1*(1-Parametri!$B$2)+((Coefficienti!$B$4+Coefficienti!$B$5*F$15+Coefficienti!$B$6*$A20)+Coefficienti!$B$7)*(1-Parametri!$B$3))*(1+Parametri!$B$4)+Ferramenta!$D$14+Coefficienti!$B$8*Parametri!$B$5,2)</f>
        <v>651.46</v>
      </c>
      <c r="G20" s="4" t="n">
        <f aca="false">ROUND(((Coefficienti!$B$1+Coefficienti!$B$2*G$15+Coefficienti!$B$3*$A20)*Parametri!$B$1*(1-Parametri!$B$2)+((Coefficienti!$B$4+Coefficienti!$B$5*G$15+Coefficienti!$B$6*$A20)+Coefficienti!$B$7)*(1-Parametri!$B$3))*(1+Parametri!$B$4)+Ferramenta!$D$14+Coefficienti!$B$8*Parametri!$B$5,2)</f>
        <v>657.83</v>
      </c>
      <c r="H20" s="4" t="n">
        <f aca="false">ROUND(((Coefficienti!$B$1+Coefficienti!$B$2*H$15+Coefficienti!$B$3*$A20)*Parametri!$B$1*(1-Parametri!$B$2)+((Coefficienti!$B$4+Coefficienti!$B$5*H$15+Coefficienti!$B$6*$A20)+Coefficienti!$B$7)*(1-Parametri!$B$3))*(1+Parametri!$B$4)+Ferramenta!$D$14+Coefficienti!$B$8*Parametri!$B$5,2)</f>
        <v>664.21</v>
      </c>
      <c r="I20" s="4" t="n">
        <f aca="false">ROUND(((Coefficienti!$B$1+Coefficienti!$B$2*I$15+Coefficienti!$B$3*$A20)*Parametri!$B$1*(1-Parametri!$B$2)+((Coefficienti!$B$4+Coefficienti!$B$5*I$15+Coefficienti!$B$6*$A20)+Coefficienti!$B$7)*(1-Parametri!$B$3))*(1+Parametri!$B$4)+Ferramenta!$D$14+Coefficienti!$B$8*Parametri!$B$5,2)</f>
        <v>670.58</v>
      </c>
      <c r="J20" s="4" t="n">
        <f aca="false">ROUND(((Coefficienti!$B$1+Coefficienti!$B$2*J$15+Coefficienti!$B$3*$A20)*Parametri!$B$1*(1-Parametri!$B$2)+((Coefficienti!$B$4+Coefficienti!$B$5*J$15+Coefficienti!$B$6*$A20)+Coefficienti!$B$7)*(1-Parametri!$B$3))*(1+Parametri!$B$4)+Ferramenta!$D$14+Coefficienti!$B$8*Parametri!$B$5,2)</f>
        <v>676.96</v>
      </c>
      <c r="K20" s="4" t="n">
        <f aca="false">ROUND(((Coefficienti!$B$1+Coefficienti!$B$2*K$15+Coefficienti!$B$3*$A20)*Parametri!$B$1*(1-Parametri!$B$2)+((Coefficienti!$B$4+Coefficienti!$B$5*K$15+Coefficienti!$B$6*$A20)+Coefficienti!$B$7)*(1-Parametri!$B$3))*(1+Parametri!$B$4)+Ferramenta!$D$14+Coefficienti!$B$8*Parametri!$B$5,2)</f>
        <v>683.33</v>
      </c>
      <c r="L20" s="4" t="n">
        <f aca="false">ROUND(((Coefficienti!$B$1+Coefficienti!$B$2*L$15+Coefficienti!$B$3*$A20)*Parametri!$B$1*(1-Parametri!$B$2)+((Coefficienti!$B$4+Coefficienti!$B$5*L$15+Coefficienti!$B$6*$A20)+Coefficienti!$B$7)*(1-Parametri!$B$3))*(1+Parametri!$B$4)+Ferramenta!$D$14+Coefficienti!$B$8*Parametri!$B$5,2)</f>
        <v>689.71</v>
      </c>
    </row>
    <row r="21" customFormat="false" ht="15" hidden="false" customHeight="false" outlineLevel="0" collapsed="false">
      <c r="A21" s="2" t="n">
        <v>2400</v>
      </c>
      <c r="B21" s="4" t="n">
        <f aca="false">ROUND(((Coefficienti!$B$1+Coefficienti!$B$2*B$15+Coefficienti!$B$3*$A21)*Parametri!$B$1*(1-Parametri!$B$2)+((Coefficienti!$B$4+Coefficienti!$B$5*B$15+Coefficienti!$B$6*$A21)+Coefficienti!$B$7)*(1-Parametri!$B$3))*(1+Parametri!$B$4)+Ferramenta!$D$14+Coefficienti!$B$8*Parametri!$B$5,2)</f>
        <v>636.24</v>
      </c>
      <c r="C21" s="4" t="n">
        <f aca="false">ROUND(((Coefficienti!$B$1+Coefficienti!$B$2*C$15+Coefficienti!$B$3*$A21)*Parametri!$B$1*(1-Parametri!$B$2)+((Coefficienti!$B$4+Coefficienti!$B$5*C$15+Coefficienti!$B$6*$A21)+Coefficienti!$B$7)*(1-Parametri!$B$3))*(1+Parametri!$B$4)+Ferramenta!$D$14+Coefficienti!$B$8*Parametri!$B$5,2)</f>
        <v>642.62</v>
      </c>
      <c r="D21" s="4" t="n">
        <f aca="false">ROUND(((Coefficienti!$B$1+Coefficienti!$B$2*D$15+Coefficienti!$B$3*$A21)*Parametri!$B$1*(1-Parametri!$B$2)+((Coefficienti!$B$4+Coefficienti!$B$5*D$15+Coefficienti!$B$6*$A21)+Coefficienti!$B$7)*(1-Parametri!$B$3))*(1+Parametri!$B$4)+Ferramenta!$D$14+Coefficienti!$B$8*Parametri!$B$5,2)</f>
        <v>648.99</v>
      </c>
      <c r="E21" s="4" t="n">
        <f aca="false">ROUND(((Coefficienti!$B$1+Coefficienti!$B$2*E$15+Coefficienti!$B$3*$A21)*Parametri!$B$1*(1-Parametri!$B$2)+((Coefficienti!$B$4+Coefficienti!$B$5*E$15+Coefficienti!$B$6*$A21)+Coefficienti!$B$7)*(1-Parametri!$B$3))*(1+Parametri!$B$4)+Ferramenta!$D$14+Coefficienti!$B$8*Parametri!$B$5,2)</f>
        <v>655.37</v>
      </c>
      <c r="F21" s="4" t="n">
        <f aca="false">ROUND(((Coefficienti!$B$1+Coefficienti!$B$2*F$15+Coefficienti!$B$3*$A21)*Parametri!$B$1*(1-Parametri!$B$2)+((Coefficienti!$B$4+Coefficienti!$B$5*F$15+Coefficienti!$B$6*$A21)+Coefficienti!$B$7)*(1-Parametri!$B$3))*(1+Parametri!$B$4)+Ferramenta!$D$14+Coefficienti!$B$8*Parametri!$B$5,2)</f>
        <v>661.74</v>
      </c>
      <c r="G21" s="4" t="n">
        <f aca="false">ROUND(((Coefficienti!$B$1+Coefficienti!$B$2*G$15+Coefficienti!$B$3*$A21)*Parametri!$B$1*(1-Parametri!$B$2)+((Coefficienti!$B$4+Coefficienti!$B$5*G$15+Coefficienti!$B$6*$A21)+Coefficienti!$B$7)*(1-Parametri!$B$3))*(1+Parametri!$B$4)+Ferramenta!$D$14+Coefficienti!$B$8*Parametri!$B$5,2)</f>
        <v>668.12</v>
      </c>
      <c r="H21" s="4" t="n">
        <f aca="false">ROUND(((Coefficienti!$B$1+Coefficienti!$B$2*H$15+Coefficienti!$B$3*$A21)*Parametri!$B$1*(1-Parametri!$B$2)+((Coefficienti!$B$4+Coefficienti!$B$5*H$15+Coefficienti!$B$6*$A21)+Coefficienti!$B$7)*(1-Parametri!$B$3))*(1+Parametri!$B$4)+Ferramenta!$D$14+Coefficienti!$B$8*Parametri!$B$5,2)</f>
        <v>674.49</v>
      </c>
      <c r="I21" s="4" t="n">
        <f aca="false">ROUND(((Coefficienti!$B$1+Coefficienti!$B$2*I$15+Coefficienti!$B$3*$A21)*Parametri!$B$1*(1-Parametri!$B$2)+((Coefficienti!$B$4+Coefficienti!$B$5*I$15+Coefficienti!$B$6*$A21)+Coefficienti!$B$7)*(1-Parametri!$B$3))*(1+Parametri!$B$4)+Ferramenta!$D$14+Coefficienti!$B$8*Parametri!$B$5,2)</f>
        <v>680.87</v>
      </c>
      <c r="J21" s="4" t="n">
        <f aca="false">ROUND(((Coefficienti!$B$1+Coefficienti!$B$2*J$15+Coefficienti!$B$3*$A21)*Parametri!$B$1*(1-Parametri!$B$2)+((Coefficienti!$B$4+Coefficienti!$B$5*J$15+Coefficienti!$B$6*$A21)+Coefficienti!$B$7)*(1-Parametri!$B$3))*(1+Parametri!$B$4)+Ferramenta!$D$14+Coefficienti!$B$8*Parametri!$B$5,2)</f>
        <v>687.24</v>
      </c>
      <c r="K21" s="4" t="n">
        <f aca="false">ROUND(((Coefficienti!$B$1+Coefficienti!$B$2*K$15+Coefficienti!$B$3*$A21)*Parametri!$B$1*(1-Parametri!$B$2)+((Coefficienti!$B$4+Coefficienti!$B$5*K$15+Coefficienti!$B$6*$A21)+Coefficienti!$B$7)*(1-Parametri!$B$3))*(1+Parametri!$B$4)+Ferramenta!$D$14+Coefficienti!$B$8*Parametri!$B$5,2)</f>
        <v>693.62</v>
      </c>
      <c r="L21" s="4" t="n">
        <f aca="false">ROUND(((Coefficienti!$B$1+Coefficienti!$B$2*L$15+Coefficienti!$B$3*$A21)*Parametri!$B$1*(1-Parametri!$B$2)+((Coefficienti!$B$4+Coefficienti!$B$5*L$15+Coefficienti!$B$6*$A21)+Coefficienti!$B$7)*(1-Parametri!$B$3))*(1+Parametri!$B$4)+Ferramenta!$D$14+Coefficienti!$B$8*Parametri!$B$5,2)</f>
        <v>699.99</v>
      </c>
    </row>
    <row r="22" customFormat="false" ht="15" hidden="false" customHeight="false" outlineLevel="0" collapsed="false">
      <c r="A22" s="2" t="n">
        <v>2500</v>
      </c>
      <c r="B22" s="4" t="n">
        <f aca="false">ROUND(((Coefficienti!$B$1+Coefficienti!$B$2*B$15+Coefficienti!$B$3*$A22)*Parametri!$B$1*(1-Parametri!$B$2)+((Coefficienti!$B$4+Coefficienti!$B$5*B$15+Coefficienti!$B$6*$A22)+Coefficienti!$B$7)*(1-Parametri!$B$3))*(1+Parametri!$B$4)+Ferramenta!$D$14+Coefficienti!$B$8*Parametri!$B$5,2)</f>
        <v>646.53</v>
      </c>
      <c r="C22" s="4" t="n">
        <f aca="false">ROUND(((Coefficienti!$B$1+Coefficienti!$B$2*C$15+Coefficienti!$B$3*$A22)*Parametri!$B$1*(1-Parametri!$B$2)+((Coefficienti!$B$4+Coefficienti!$B$5*C$15+Coefficienti!$B$6*$A22)+Coefficienti!$B$7)*(1-Parametri!$B$3))*(1+Parametri!$B$4)+Ferramenta!$D$14+Coefficienti!$B$8*Parametri!$B$5,2)</f>
        <v>652.9</v>
      </c>
      <c r="D22" s="4" t="n">
        <f aca="false">ROUND(((Coefficienti!$B$1+Coefficienti!$B$2*D$15+Coefficienti!$B$3*$A22)*Parametri!$B$1*(1-Parametri!$B$2)+((Coefficienti!$B$4+Coefficienti!$B$5*D$15+Coefficienti!$B$6*$A22)+Coefficienti!$B$7)*(1-Parametri!$B$3))*(1+Parametri!$B$4)+Ferramenta!$D$14+Coefficienti!$B$8*Parametri!$B$5,2)</f>
        <v>659.28</v>
      </c>
      <c r="E22" s="4" t="n">
        <f aca="false">ROUND(((Coefficienti!$B$1+Coefficienti!$B$2*E$15+Coefficienti!$B$3*$A22)*Parametri!$B$1*(1-Parametri!$B$2)+((Coefficienti!$B$4+Coefficienti!$B$5*E$15+Coefficienti!$B$6*$A22)+Coefficienti!$B$7)*(1-Parametri!$B$3))*(1+Parametri!$B$4)+Ferramenta!$D$14+Coefficienti!$B$8*Parametri!$B$5,2)</f>
        <v>665.65</v>
      </c>
      <c r="F22" s="4" t="n">
        <f aca="false">ROUND(((Coefficienti!$B$1+Coefficienti!$B$2*F$15+Coefficienti!$B$3*$A22)*Parametri!$B$1*(1-Parametri!$B$2)+((Coefficienti!$B$4+Coefficienti!$B$5*F$15+Coefficienti!$B$6*$A22)+Coefficienti!$B$7)*(1-Parametri!$B$3))*(1+Parametri!$B$4)+Ferramenta!$D$14+Coefficienti!$B$8*Parametri!$B$5,2)</f>
        <v>672.03</v>
      </c>
      <c r="G22" s="4" t="n">
        <f aca="false">ROUND(((Coefficienti!$B$1+Coefficienti!$B$2*G$15+Coefficienti!$B$3*$A22)*Parametri!$B$1*(1-Parametri!$B$2)+((Coefficienti!$B$4+Coefficienti!$B$5*G$15+Coefficienti!$B$6*$A22)+Coefficienti!$B$7)*(1-Parametri!$B$3))*(1+Parametri!$B$4)+Ferramenta!$D$14+Coefficienti!$B$8*Parametri!$B$5,2)</f>
        <v>678.4</v>
      </c>
      <c r="H22" s="4" t="n">
        <f aca="false">ROUND(((Coefficienti!$B$1+Coefficienti!$B$2*H$15+Coefficienti!$B$3*$A22)*Parametri!$B$1*(1-Parametri!$B$2)+((Coefficienti!$B$4+Coefficienti!$B$5*H$15+Coefficienti!$B$6*$A22)+Coefficienti!$B$7)*(1-Parametri!$B$3))*(1+Parametri!$B$4)+Ferramenta!$D$14+Coefficienti!$B$8*Parametri!$B$5,2)</f>
        <v>684.78</v>
      </c>
      <c r="I22" s="4" t="n">
        <f aca="false">ROUND(((Coefficienti!$B$1+Coefficienti!$B$2*I$15+Coefficienti!$B$3*$A22)*Parametri!$B$1*(1-Parametri!$B$2)+((Coefficienti!$B$4+Coefficienti!$B$5*I$15+Coefficienti!$B$6*$A22)+Coefficienti!$B$7)*(1-Parametri!$B$3))*(1+Parametri!$B$4)+Ferramenta!$D$14+Coefficienti!$B$8*Parametri!$B$5,2)</f>
        <v>691.15</v>
      </c>
      <c r="J22" s="4" t="n">
        <f aca="false">ROUND(((Coefficienti!$B$1+Coefficienti!$B$2*J$15+Coefficienti!$B$3*$A22)*Parametri!$B$1*(1-Parametri!$B$2)+((Coefficienti!$B$4+Coefficienti!$B$5*J$15+Coefficienti!$B$6*$A22)+Coefficienti!$B$7)*(1-Parametri!$B$3))*(1+Parametri!$B$4)+Ferramenta!$D$14+Coefficienti!$B$8*Parametri!$B$5,2)</f>
        <v>697.53</v>
      </c>
      <c r="K22" s="4" t="n">
        <f aca="false">ROUND(((Coefficienti!$B$1+Coefficienti!$B$2*K$15+Coefficienti!$B$3*$A22)*Parametri!$B$1*(1-Parametri!$B$2)+((Coefficienti!$B$4+Coefficienti!$B$5*K$15+Coefficienti!$B$6*$A22)+Coefficienti!$B$7)*(1-Parametri!$B$3))*(1+Parametri!$B$4)+Ferramenta!$D$14+Coefficienti!$B$8*Parametri!$B$5,2)</f>
        <v>703.9</v>
      </c>
      <c r="L22" s="4" t="n">
        <f aca="false">ROUND(((Coefficienti!$B$1+Coefficienti!$B$2*L$15+Coefficienti!$B$3*$A22)*Parametri!$B$1*(1-Parametri!$B$2)+((Coefficienti!$B$4+Coefficienti!$B$5*L$15+Coefficienti!$B$6*$A22)+Coefficienti!$B$7)*(1-Parametri!$B$3))*(1+Parametri!$B$4)+Ferramenta!$D$14+Coefficienti!$B$8*Parametri!$B$5,2)</f>
        <v>710.28</v>
      </c>
    </row>
    <row r="23" customFormat="false" ht="15" hidden="false" customHeight="false" outlineLevel="0" collapsed="false">
      <c r="A23" s="2" t="n">
        <v>2600</v>
      </c>
      <c r="B23" s="4" t="n">
        <f aca="false">ROUND(((Coefficienti!$B$1+Coefficienti!$B$2*B$15+Coefficienti!$B$3*$A23)*Parametri!$B$1*(1-Parametri!$B$2)+((Coefficienti!$B$4+Coefficienti!$B$5*B$15+Coefficienti!$B$6*$A23)+Coefficienti!$B$7)*(1-Parametri!$B$3))*(1+Parametri!$B$4)+Ferramenta!$D$14+Coefficienti!$B$8*Parametri!$B$5,2)</f>
        <v>656.81</v>
      </c>
      <c r="C23" s="4" t="n">
        <f aca="false">ROUND(((Coefficienti!$B$1+Coefficienti!$B$2*C$15+Coefficienti!$B$3*$A23)*Parametri!$B$1*(1-Parametri!$B$2)+((Coefficienti!$B$4+Coefficienti!$B$5*C$15+Coefficienti!$B$6*$A23)+Coefficienti!$B$7)*(1-Parametri!$B$3))*(1+Parametri!$B$4)+Ferramenta!$D$14+Coefficienti!$B$8*Parametri!$B$5,2)</f>
        <v>663.19</v>
      </c>
      <c r="D23" s="4" t="n">
        <f aca="false">ROUND(((Coefficienti!$B$1+Coefficienti!$B$2*D$15+Coefficienti!$B$3*$A23)*Parametri!$B$1*(1-Parametri!$B$2)+((Coefficienti!$B$4+Coefficienti!$B$5*D$15+Coefficienti!$B$6*$A23)+Coefficienti!$B$7)*(1-Parametri!$B$3))*(1+Parametri!$B$4)+Ferramenta!$D$14+Coefficienti!$B$8*Parametri!$B$5,2)</f>
        <v>669.56</v>
      </c>
      <c r="E23" s="4" t="n">
        <f aca="false">ROUND(((Coefficienti!$B$1+Coefficienti!$B$2*E$15+Coefficienti!$B$3*$A23)*Parametri!$B$1*(1-Parametri!$B$2)+((Coefficienti!$B$4+Coefficienti!$B$5*E$15+Coefficienti!$B$6*$A23)+Coefficienti!$B$7)*(1-Parametri!$B$3))*(1+Parametri!$B$4)+Ferramenta!$D$14+Coefficienti!$B$8*Parametri!$B$5,2)</f>
        <v>675.94</v>
      </c>
      <c r="F23" s="4" t="n">
        <f aca="false">ROUND(((Coefficienti!$B$1+Coefficienti!$B$2*F$15+Coefficienti!$B$3*$A23)*Parametri!$B$1*(1-Parametri!$B$2)+((Coefficienti!$B$4+Coefficienti!$B$5*F$15+Coefficienti!$B$6*$A23)+Coefficienti!$B$7)*(1-Parametri!$B$3))*(1+Parametri!$B$4)+Ferramenta!$D$14+Coefficienti!$B$8*Parametri!$B$5,2)</f>
        <v>682.31</v>
      </c>
      <c r="G23" s="4" t="n">
        <f aca="false">ROUND(((Coefficienti!$B$1+Coefficienti!$B$2*G$15+Coefficienti!$B$3*$A23)*Parametri!$B$1*(1-Parametri!$B$2)+((Coefficienti!$B$4+Coefficienti!$B$5*G$15+Coefficienti!$B$6*$A23)+Coefficienti!$B$7)*(1-Parametri!$B$3))*(1+Parametri!$B$4)+Ferramenta!$D$14+Coefficienti!$B$8*Parametri!$B$5,2)</f>
        <v>688.69</v>
      </c>
      <c r="H23" s="4" t="n">
        <f aca="false">ROUND(((Coefficienti!$B$1+Coefficienti!$B$2*H$15+Coefficienti!$B$3*$A23)*Parametri!$B$1*(1-Parametri!$B$2)+((Coefficienti!$B$4+Coefficienti!$B$5*H$15+Coefficienti!$B$6*$A23)+Coefficienti!$B$7)*(1-Parametri!$B$3))*(1+Parametri!$B$4)+Ferramenta!$D$14+Coefficienti!$B$8*Parametri!$B$5,2)</f>
        <v>695.06</v>
      </c>
      <c r="I23" s="4" t="n">
        <f aca="false">ROUND(((Coefficienti!$B$1+Coefficienti!$B$2*I$15+Coefficienti!$B$3*$A23)*Parametri!$B$1*(1-Parametri!$B$2)+((Coefficienti!$B$4+Coefficienti!$B$5*I$15+Coefficienti!$B$6*$A23)+Coefficienti!$B$7)*(1-Parametri!$B$3))*(1+Parametri!$B$4)+Ferramenta!$D$14+Coefficienti!$B$8*Parametri!$B$5,2)</f>
        <v>701.44</v>
      </c>
      <c r="J23" s="4" t="n">
        <f aca="false">ROUND(((Coefficienti!$B$1+Coefficienti!$B$2*J$15+Coefficienti!$B$3*$A23)*Parametri!$B$1*(1-Parametri!$B$2)+((Coefficienti!$B$4+Coefficienti!$B$5*J$15+Coefficienti!$B$6*$A23)+Coefficienti!$B$7)*(1-Parametri!$B$3))*(1+Parametri!$B$4)+Ferramenta!$D$14+Coefficienti!$B$8*Parametri!$B$5,2)</f>
        <v>707.81</v>
      </c>
      <c r="K23" s="4" t="n">
        <f aca="false">ROUND(((Coefficienti!$B$1+Coefficienti!$B$2*K$15+Coefficienti!$B$3*$A23)*Parametri!$B$1*(1-Parametri!$B$2)+((Coefficienti!$B$4+Coefficienti!$B$5*K$15+Coefficienti!$B$6*$A23)+Coefficienti!$B$7)*(1-Parametri!$B$3))*(1+Parametri!$B$4)+Ferramenta!$D$14+Coefficienti!$B$8*Parametri!$B$5,2)</f>
        <v>714.19</v>
      </c>
      <c r="L23" s="4" t="n">
        <f aca="false">ROUND(((Coefficienti!$B$1+Coefficienti!$B$2*L$15+Coefficienti!$B$3*$A23)*Parametri!$B$1*(1-Parametri!$B$2)+((Coefficienti!$B$4+Coefficienti!$B$5*L$15+Coefficienti!$B$6*$A23)+Coefficienti!$B$7)*(1-Parametri!$B$3))*(1+Parametri!$B$4)+Ferramenta!$D$14+Coefficienti!$B$8*Parametri!$B$5,2)</f>
        <v>720.56</v>
      </c>
    </row>
    <row r="24" customFormat="false" ht="15" hidden="false" customHeight="false" outlineLevel="0" collapsed="false">
      <c r="A24" s="2" t="n">
        <v>2700</v>
      </c>
      <c r="B24" s="4" t="n">
        <f aca="false">ROUND(((Coefficienti!$B$1+Coefficienti!$B$2*B$15+Coefficienti!$B$3*$A24)*Parametri!$B$1*(1-Parametri!$B$2)+((Coefficienti!$B$4+Coefficienti!$B$5*B$15+Coefficienti!$B$6*$A24)+Coefficienti!$B$7)*(1-Parametri!$B$3))*(1+Parametri!$B$4)+Ferramenta!$D$14+Coefficienti!$B$8*Parametri!$B$5,2)</f>
        <v>667.1</v>
      </c>
      <c r="C24" s="4" t="n">
        <f aca="false">ROUND(((Coefficienti!$B$1+Coefficienti!$B$2*C$15+Coefficienti!$B$3*$A24)*Parametri!$B$1*(1-Parametri!$B$2)+((Coefficienti!$B$4+Coefficienti!$B$5*C$15+Coefficienti!$B$6*$A24)+Coefficienti!$B$7)*(1-Parametri!$B$3))*(1+Parametri!$B$4)+Ferramenta!$D$14+Coefficienti!$B$8*Parametri!$B$5,2)</f>
        <v>673.47</v>
      </c>
      <c r="D24" s="4" t="n">
        <f aca="false">ROUND(((Coefficienti!$B$1+Coefficienti!$B$2*D$15+Coefficienti!$B$3*$A24)*Parametri!$B$1*(1-Parametri!$B$2)+((Coefficienti!$B$4+Coefficienti!$B$5*D$15+Coefficienti!$B$6*$A24)+Coefficienti!$B$7)*(1-Parametri!$B$3))*(1+Parametri!$B$4)+Ferramenta!$D$14+Coefficienti!$B$8*Parametri!$B$5,2)</f>
        <v>679.85</v>
      </c>
      <c r="E24" s="4" t="n">
        <f aca="false">ROUND(((Coefficienti!$B$1+Coefficienti!$B$2*E$15+Coefficienti!$B$3*$A24)*Parametri!$B$1*(1-Parametri!$B$2)+((Coefficienti!$B$4+Coefficienti!$B$5*E$15+Coefficienti!$B$6*$A24)+Coefficienti!$B$7)*(1-Parametri!$B$3))*(1+Parametri!$B$4)+Ferramenta!$D$14+Coefficienti!$B$8*Parametri!$B$5,2)</f>
        <v>686.22</v>
      </c>
      <c r="F24" s="4" t="n">
        <f aca="false">ROUND(((Coefficienti!$B$1+Coefficienti!$B$2*F$15+Coefficienti!$B$3*$A24)*Parametri!$B$1*(1-Parametri!$B$2)+((Coefficienti!$B$4+Coefficienti!$B$5*F$15+Coefficienti!$B$6*$A24)+Coefficienti!$B$7)*(1-Parametri!$B$3))*(1+Parametri!$B$4)+Ferramenta!$D$14+Coefficienti!$B$8*Parametri!$B$5,2)</f>
        <v>692.6</v>
      </c>
      <c r="G24" s="4" t="n">
        <f aca="false">ROUND(((Coefficienti!$B$1+Coefficienti!$B$2*G$15+Coefficienti!$B$3*$A24)*Parametri!$B$1*(1-Parametri!$B$2)+((Coefficienti!$B$4+Coefficienti!$B$5*G$15+Coefficienti!$B$6*$A24)+Coefficienti!$B$7)*(1-Parametri!$B$3))*(1+Parametri!$B$4)+Ferramenta!$D$14+Coefficienti!$B$8*Parametri!$B$5,2)</f>
        <v>698.97</v>
      </c>
      <c r="H24" s="4" t="n">
        <f aca="false">ROUND(((Coefficienti!$B$1+Coefficienti!$B$2*H$15+Coefficienti!$B$3*$A24)*Parametri!$B$1*(1-Parametri!$B$2)+((Coefficienti!$B$4+Coefficienti!$B$5*H$15+Coefficienti!$B$6*$A24)+Coefficienti!$B$7)*(1-Parametri!$B$3))*(1+Parametri!$B$4)+Ferramenta!$D$14+Coefficienti!$B$8*Parametri!$B$5,2)</f>
        <v>705.35</v>
      </c>
      <c r="I24" s="4" t="n">
        <f aca="false">ROUND(((Coefficienti!$B$1+Coefficienti!$B$2*I$15+Coefficienti!$B$3*$A24)*Parametri!$B$1*(1-Parametri!$B$2)+((Coefficienti!$B$4+Coefficienti!$B$5*I$15+Coefficienti!$B$6*$A24)+Coefficienti!$B$7)*(1-Parametri!$B$3))*(1+Parametri!$B$4)+Ferramenta!$D$14+Coefficienti!$B$8*Parametri!$B$5,2)</f>
        <v>711.72</v>
      </c>
      <c r="J24" s="4" t="n">
        <f aca="false">ROUND(((Coefficienti!$B$1+Coefficienti!$B$2*J$15+Coefficienti!$B$3*$A24)*Parametri!$B$1*(1-Parametri!$B$2)+((Coefficienti!$B$4+Coefficienti!$B$5*J$15+Coefficienti!$B$6*$A24)+Coefficienti!$B$7)*(1-Parametri!$B$3))*(1+Parametri!$B$4)+Ferramenta!$D$14+Coefficienti!$B$8*Parametri!$B$5,2)</f>
        <v>718.1</v>
      </c>
      <c r="K24" s="4" t="n">
        <f aca="false">ROUND(((Coefficienti!$B$1+Coefficienti!$B$2*K$15+Coefficienti!$B$3*$A24)*Parametri!$B$1*(1-Parametri!$B$2)+((Coefficienti!$B$4+Coefficienti!$B$5*K$15+Coefficienti!$B$6*$A24)+Coefficienti!$B$7)*(1-Parametri!$B$3))*(1+Parametri!$B$4)+Ferramenta!$D$14+Coefficienti!$B$8*Parametri!$B$5,2)</f>
        <v>724.47</v>
      </c>
      <c r="L24" s="4" t="n">
        <f aca="false">ROUND(((Coefficienti!$B$1+Coefficienti!$B$2*L$15+Coefficienti!$B$3*$A24)*Parametri!$B$1*(1-Parametri!$B$2)+((Coefficienti!$B$4+Coefficienti!$B$5*L$15+Coefficienti!$B$6*$A24)+Coefficienti!$B$7)*(1-Parametri!$B$3))*(1+Parametri!$B$4)+Ferramenta!$D$14+Coefficienti!$B$8*Parametri!$B$5,2)</f>
        <v>730.85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2"/>
  </cols>
  <sheetData>
    <row r="1" customFormat="false" ht="15" hidden="false" customHeight="false" outlineLevel="0" collapsed="false">
      <c r="A1" s="5" t="s">
        <v>3</v>
      </c>
      <c r="B1" s="6" t="n">
        <v>14.82</v>
      </c>
    </row>
    <row r="2" customFormat="false" ht="15" hidden="false" customHeight="false" outlineLevel="0" collapsed="false">
      <c r="A2" s="5" t="s">
        <v>4</v>
      </c>
      <c r="B2" s="7" t="n">
        <v>0.43</v>
      </c>
    </row>
    <row r="3" customFormat="false" ht="15" hidden="false" customHeight="false" outlineLevel="0" collapsed="false">
      <c r="A3" s="5" t="s">
        <v>5</v>
      </c>
      <c r="B3" s="7" t="n">
        <v>0.2</v>
      </c>
    </row>
    <row r="4" customFormat="false" ht="15" hidden="false" customHeight="false" outlineLevel="0" collapsed="false">
      <c r="A4" s="5" t="s">
        <v>6</v>
      </c>
      <c r="B4" s="7" t="n">
        <v>0.09</v>
      </c>
    </row>
    <row r="5" customFormat="false" ht="15" hidden="false" customHeight="false" outlineLevel="0" collapsed="false">
      <c r="A5" s="5" t="s">
        <v>7</v>
      </c>
      <c r="B5" s="6" t="n">
        <v>65</v>
      </c>
    </row>
    <row r="6" customFormat="false" ht="15" hidden="false" customHeight="false" outlineLevel="0" collapsed="false">
      <c r="A6" s="5" t="s">
        <v>8</v>
      </c>
      <c r="B6" s="7" t="n">
        <v>2.13</v>
      </c>
    </row>
    <row r="8" customFormat="false" ht="15" hidden="false" customHeight="false" outlineLevel="0" collapsed="false">
      <c r="A8" s="5" t="s">
        <v>9</v>
      </c>
    </row>
    <row r="9" customFormat="false" ht="15" hidden="false" customHeight="false" outlineLevel="0" collapsed="false">
      <c r="A9" s="5" t="s">
        <v>10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</cols>
  <sheetData>
    <row r="1" customFormat="false" ht="15" hidden="false" customHeight="false" outlineLevel="0" collapsed="false">
      <c r="A1" s="5" t="s">
        <v>11</v>
      </c>
      <c r="B1" s="5" t="n">
        <v>-0.78388</v>
      </c>
    </row>
    <row r="2" customFormat="false" ht="15" hidden="false" customHeight="false" outlineLevel="0" collapsed="false">
      <c r="A2" s="5" t="s">
        <v>12</v>
      </c>
      <c r="B2" s="5" t="n">
        <v>0.00655</v>
      </c>
    </row>
    <row r="3" customFormat="false" ht="15" hidden="false" customHeight="false" outlineLevel="0" collapsed="false">
      <c r="A3" s="5" t="s">
        <v>13</v>
      </c>
      <c r="B3" s="5" t="n">
        <v>0.01087</v>
      </c>
    </row>
    <row r="4" customFormat="false" ht="15" hidden="false" customHeight="false" outlineLevel="0" collapsed="false">
      <c r="A4" s="5" t="s">
        <v>14</v>
      </c>
      <c r="B4" s="5" t="n">
        <v>0.015277</v>
      </c>
    </row>
    <row r="5" customFormat="false" ht="15" hidden="false" customHeight="false" outlineLevel="0" collapsed="false">
      <c r="A5" s="5" t="s">
        <v>15</v>
      </c>
      <c r="B5" s="5" t="n">
        <v>0.003944</v>
      </c>
    </row>
    <row r="6" customFormat="false" ht="15" hidden="false" customHeight="false" outlineLevel="0" collapsed="false">
      <c r="A6" s="5" t="s">
        <v>16</v>
      </c>
      <c r="B6" s="5" t="n">
        <v>0.003157</v>
      </c>
    </row>
    <row r="7" customFormat="false" ht="15" hidden="false" customHeight="false" outlineLevel="0" collapsed="false">
      <c r="A7" s="5" t="s">
        <v>17</v>
      </c>
      <c r="B7" s="5" t="n">
        <v>51.502</v>
      </c>
    </row>
    <row r="8" customFormat="false" ht="15" hidden="false" customHeight="false" outlineLevel="0" collapsed="false">
      <c r="A8" s="5" t="s">
        <v>18</v>
      </c>
      <c r="B8" s="5" t="n">
        <v>4.33333333</v>
      </c>
    </row>
    <row r="10" customFormat="false" ht="15" hidden="false" customHeight="false" outlineLevel="0" collapsed="false">
      <c r="A10" s="5" t="s">
        <v>19</v>
      </c>
    </row>
    <row r="11" customFormat="false" ht="15" hidden="false" customHeight="false" outlineLevel="0" collapsed="false">
      <c r="A11" s="5" t="s">
        <v>20</v>
      </c>
    </row>
    <row r="12" customFormat="false" ht="15" hidden="false" customHeight="false" outlineLevel="0" collapsed="false">
      <c r="A12" s="5" t="s">
        <v>21</v>
      </c>
    </row>
    <row r="13" customFormat="false" ht="15" hidden="false" customHeight="false" outlineLevel="0" collapsed="false">
      <c r="A13" s="5" t="s">
        <v>22</v>
      </c>
    </row>
    <row r="14" customFormat="false" ht="15" hidden="false" customHeight="false" outlineLevel="0" collapsed="false">
      <c r="A14" s="5" t="s">
        <v>23</v>
      </c>
    </row>
    <row r="15" customFormat="false" ht="15" hidden="false" customHeight="false" outlineLevel="0" collapsed="false">
      <c r="A15" s="5" t="s">
        <v>24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6"/>
  </cols>
  <sheetData>
    <row r="1" customFormat="false" ht="15" hidden="false" customHeight="false" outlineLevel="0" collapsed="false">
      <c r="A1" s="2" t="s">
        <v>25</v>
      </c>
      <c r="B1" s="2" t="s">
        <v>26</v>
      </c>
      <c r="C1" s="2" t="s">
        <v>27</v>
      </c>
      <c r="D1" s="2" t="s">
        <v>28</v>
      </c>
    </row>
    <row r="2" customFormat="false" ht="15" hidden="false" customHeight="false" outlineLevel="0" collapsed="false">
      <c r="A2" s="5" t="s">
        <v>29</v>
      </c>
      <c r="B2" s="8" t="n">
        <v>1</v>
      </c>
      <c r="C2" s="6" t="n">
        <v>5.5</v>
      </c>
      <c r="D2" s="4" t="n">
        <f aca="false">B2*C2</f>
        <v>5.5</v>
      </c>
    </row>
    <row r="3" customFormat="false" ht="15" hidden="false" customHeight="false" outlineLevel="0" collapsed="false">
      <c r="A3" s="5" t="s">
        <v>30</v>
      </c>
      <c r="B3" s="8" t="n">
        <v>1</v>
      </c>
      <c r="C3" s="6" t="n">
        <v>3.57</v>
      </c>
      <c r="D3" s="4" t="n">
        <f aca="false">B3*C3</f>
        <v>3.57</v>
      </c>
    </row>
    <row r="4" customFormat="false" ht="15" hidden="false" customHeight="false" outlineLevel="0" collapsed="false">
      <c r="A4" s="5" t="s">
        <v>31</v>
      </c>
      <c r="B4" s="8" t="n">
        <v>1</v>
      </c>
      <c r="C4" s="6" t="n">
        <v>1.26</v>
      </c>
      <c r="D4" s="4" t="n">
        <f aca="false">B4*C4</f>
        <v>1.26</v>
      </c>
    </row>
    <row r="5" customFormat="false" ht="15" hidden="false" customHeight="false" outlineLevel="0" collapsed="false">
      <c r="A5" s="5" t="s">
        <v>32</v>
      </c>
      <c r="B5" s="8" t="n">
        <v>1</v>
      </c>
      <c r="C5" s="6" t="n">
        <v>1.33</v>
      </c>
      <c r="D5" s="4" t="n">
        <f aca="false">B5*C5</f>
        <v>1.33</v>
      </c>
    </row>
    <row r="6" customFormat="false" ht="15" hidden="false" customHeight="false" outlineLevel="0" collapsed="false">
      <c r="A6" s="5" t="s">
        <v>33</v>
      </c>
      <c r="B6" s="8" t="n">
        <v>1</v>
      </c>
      <c r="C6" s="6" t="n">
        <v>0.92</v>
      </c>
      <c r="D6" s="4" t="n">
        <f aca="false">B6*C6</f>
        <v>0.92</v>
      </c>
    </row>
    <row r="7" customFormat="false" ht="15" hidden="false" customHeight="false" outlineLevel="0" collapsed="false">
      <c r="A7" s="5" t="s">
        <v>34</v>
      </c>
      <c r="B7" s="8" t="n">
        <v>2</v>
      </c>
      <c r="C7" s="6" t="n">
        <v>0.373</v>
      </c>
      <c r="D7" s="4" t="n">
        <f aca="false">B7*C7</f>
        <v>0.746</v>
      </c>
    </row>
    <row r="8" customFormat="false" ht="15" hidden="false" customHeight="false" outlineLevel="0" collapsed="false">
      <c r="A8" s="5" t="s">
        <v>35</v>
      </c>
      <c r="B8" s="8" t="n">
        <v>4</v>
      </c>
      <c r="C8" s="6" t="n">
        <v>0</v>
      </c>
      <c r="D8" s="4" t="n">
        <f aca="false">B8*C8</f>
        <v>0</v>
      </c>
    </row>
    <row r="9" customFormat="false" ht="15" hidden="false" customHeight="false" outlineLevel="0" collapsed="false">
      <c r="A9" s="5" t="s">
        <v>36</v>
      </c>
      <c r="B9" s="8" t="n">
        <v>1</v>
      </c>
      <c r="C9" s="6" t="n">
        <v>0</v>
      </c>
      <c r="D9" s="4" t="n">
        <f aca="false">B9*C9</f>
        <v>0</v>
      </c>
    </row>
    <row r="10" customFormat="false" ht="15" hidden="false" customHeight="false" outlineLevel="0" collapsed="false">
      <c r="A10" s="5" t="s">
        <v>37</v>
      </c>
      <c r="B10" s="8" t="n">
        <v>1</v>
      </c>
      <c r="C10" s="6" t="n">
        <v>0</v>
      </c>
      <c r="D10" s="4" t="n">
        <f aca="false">B10*C10</f>
        <v>0</v>
      </c>
    </row>
    <row r="11" customFormat="false" ht="15" hidden="false" customHeight="false" outlineLevel="0" collapsed="false">
      <c r="A11" s="5" t="s">
        <v>38</v>
      </c>
      <c r="B11" s="8" t="n">
        <v>1</v>
      </c>
      <c r="C11" s="6" t="n">
        <v>4.46</v>
      </c>
      <c r="D11" s="4" t="n">
        <f aca="false">B11*C11</f>
        <v>4.46</v>
      </c>
    </row>
    <row r="12" customFormat="false" ht="15" hidden="false" customHeight="false" outlineLevel="0" collapsed="false">
      <c r="A12" s="5" t="s">
        <v>39</v>
      </c>
      <c r="B12" s="8" t="n">
        <v>1</v>
      </c>
      <c r="C12" s="6" t="n">
        <v>1.27</v>
      </c>
      <c r="D12" s="4" t="n">
        <f aca="false">B12*C12</f>
        <v>1.27</v>
      </c>
    </row>
    <row r="13" customFormat="false" ht="15" hidden="false" customHeight="false" outlineLevel="0" collapsed="false">
      <c r="A13" s="5" t="s">
        <v>40</v>
      </c>
      <c r="B13" s="8" t="n">
        <v>1</v>
      </c>
      <c r="C13" s="6" t="n">
        <v>0</v>
      </c>
      <c r="D13" s="4" t="n">
        <f aca="false">B13*C13</f>
        <v>0</v>
      </c>
    </row>
    <row r="14" customFormat="false" ht="15" hidden="false" customHeight="false" outlineLevel="0" collapsed="false">
      <c r="A14" s="9" t="s">
        <v>41</v>
      </c>
      <c r="D14" s="10" t="n">
        <f aca="false">SUM(D2:D13)</f>
        <v>19.056</v>
      </c>
    </row>
    <row r="16" customFormat="false" ht="15" hidden="false" customHeight="false" outlineLevel="0" collapsed="false">
      <c r="A16" s="5" t="s">
        <v>42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2026-09-02T19:56:29Z</dcterms:created>
  <dc:creator>openpyxl</dc:creator>
  <dc:description/>
  <dc:language>en-US</dc:language>
  <cp:lastModifiedBy/>
  <dcterms:modified xsi:type="dcterms:W3CDTF">2026-09-02T19:56:29Z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