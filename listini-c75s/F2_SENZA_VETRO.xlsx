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LISTINO — FINESTRA 2 ANTE (2A75)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  <c r="M2" s="3" t="n">
        <v>1900</v>
      </c>
      <c r="N2" s="3" t="n">
        <v>2000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amenta!$D$14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amenta!$D$14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amenta!$D$14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amenta!$D$14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amenta!$D$14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amenta!$D$14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amenta!$D$14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amenta!$D$14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amenta!$D$14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amenta!$D$14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amenta!$D$14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amenta!$D$14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amenta!$D$14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amenta!$D$14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amenta!$D$14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amenta!$D$14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amenta!$D$14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amenta!$D$14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amenta!$D$14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amenta!$D$14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amenta!$D$14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amenta!$D$14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amenta!$D$14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amenta!$D$14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amenta!$D$14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amenta!$D$14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amenta!$D$14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amenta!$D$14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amenta!$D$14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amenta!$D$14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amenta!$D$14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amenta!$D$14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amenta!$D$14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amenta!$D$14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amenta!$D$14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amenta!$D$14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amenta!$D$14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amenta!$D$14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amenta!$D$14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amenta!$D$14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amenta!$D$14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amenta!$D$14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amenta!$D$14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amenta!$D$14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amenta!$D$14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amenta!$D$14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amenta!$D$14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amenta!$D$14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amenta!$D$14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amenta!$D$14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amenta!$D$14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amenta!$D$14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amenta!$D$14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amenta!$D$14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amenta!$D$14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amenta!$D$14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amenta!$D$14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amenta!$D$14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amenta!$D$14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amenta!$D$14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amenta!$D$14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amenta!$D$14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amenta!$D$14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amenta!$D$14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amenta!$D$14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amenta!$D$14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amenta!$D$14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amenta!$D$14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amenta!$D$14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amenta!$D$14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amenta!$D$14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amenta!$D$14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amenta!$D$14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amenta!$D$14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amenta!$D$14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amenta!$D$14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amenta!$D$14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amenta!$D$14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amenta!$D$14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amenta!$D$14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amenta!$D$14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amenta!$D$14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amenta!$D$14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amenta!$D$14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amenta!$D$14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amenta!$D$14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amenta!$D$14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amenta!$D$14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amenta!$D$14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amenta!$D$14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amenta!$D$14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amenta!$D$14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amenta!$D$14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amenta!$D$14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amenta!$D$14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amenta!$D$14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amenta!$D$14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amenta!$D$14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amenta!$D$14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amenta!$D$14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amenta!$D$14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amenta!$D$14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amenta!$D$14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amenta!$D$14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amenta!$D$14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amenta!$D$14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amenta!$D$14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amenta!$D$14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amenta!$D$14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amenta!$D$14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amenta!$D$14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amenta!$D$14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amenta!$D$14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amenta!$D$14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amenta!$D$14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amenta!$D$14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amenta!$D$14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amenta!$D$14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amenta!$D$14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amenta!$D$14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amenta!$D$14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amenta!$D$14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amenta!$D$14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amenta!$D$14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amenta!$D$14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amenta!$D$14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amenta!$D$14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amenta!$D$14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amenta!$D$14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amenta!$D$14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amenta!$D$14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amenta!$D$14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amenta!$D$14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amenta!$D$14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amenta!$D$14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amenta!$D$14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amenta!$D$14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amenta!$D$14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amenta!$D$14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amenta!$D$14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amenta!$D$14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amenta!$D$14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amenta!$D$14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amenta!$D$14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amenta!$D$14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amenta!$D$14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amenta!$D$14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amenta!$D$14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amenta!$D$14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amenta!$D$14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amenta!$D$14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amenta!$D$14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amenta!$D$14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amenta!$D$14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amenta!$D$14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amenta!$D$14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amenta!$D$14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amenta!$D$14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amenta!$D$14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amenta!$D$14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amenta!$D$14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amenta!$D$14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amenta!$D$14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amenta!$D$14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amenta!$D$14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amenta!$D$14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amenta!$D$14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amenta!$D$14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amenta!$D$14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amenta!$D$14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amenta!$D$14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amenta!$D$14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amenta!$D$14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amenta!$D$14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amenta!$D$14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amenta!$D$14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amenta!$D$14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amenta!$D$14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amenta!$D$14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amenta!$D$14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amenta!$D$14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amenta!$D$14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amenta!$D$14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amenta!$D$14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amenta!$D$14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amenta!$D$14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amenta!$D$14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amenta!$D$14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amenta!$D$14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amenta!$D$14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amenta!$D$14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amenta!$D$14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amenta!$D$14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amenta!$D$14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amenta!$D$14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amenta!$D$14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amenta!$D$14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amenta!$D$14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amenta!$D$14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amenta!$D$14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amenta!$D$14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amenta!$D$14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amenta!$D$14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amenta!$D$14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amenta!$D$14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amenta!$D$14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amenta!$D$14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amenta!$D$14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800</v>
      </c>
      <c r="C22" s="3" t="n">
        <v>900</v>
      </c>
      <c r="D22" s="3" t="n">
        <v>1000</v>
      </c>
      <c r="E22" s="3" t="n">
        <v>1100</v>
      </c>
      <c r="F22" s="3" t="n">
        <v>1200</v>
      </c>
      <c r="G22" s="3" t="n">
        <v>1300</v>
      </c>
      <c r="H22" s="3" t="n">
        <v>1400</v>
      </c>
      <c r="I22" s="3" t="n">
        <v>1500</v>
      </c>
      <c r="J22" s="3" t="n">
        <v>1600</v>
      </c>
      <c r="K22" s="3" t="n">
        <v>1700</v>
      </c>
      <c r="L22" s="3" t="n">
        <v>1800</v>
      </c>
      <c r="M22" s="3" t="n">
        <v>1900</v>
      </c>
      <c r="N22" s="3" t="n">
        <v>2000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amenta!$D$14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amenta!$D$14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amenta!$D$14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amenta!$D$14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amenta!$D$14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amenta!$D$14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amenta!$D$14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amenta!$D$14+Coefficienti!$B$11*Parametri!$B$6,2)</f>
        <v/>
      </c>
      <c r="J23" s="4">
        <f>ROUND((((Coefficienti!$B$1+Coefficienti!$B$2*J$22+Coefficienti!$B$3*$A23)*Parametri!$B$1+(Coefficienti!$B$4+Coefficienti!$B$5*J$22+Coefficienti!$B$6*$A23)*Parametri!$B$2)*(1-Parametri!$B$3)+((Coefficienti!$B$7+Coefficienti!$B$8*J$22+Coefficienti!$B$9*$A23)+Coefficienti!$B$10)*(1-Parametri!$B$4))*(1+Parametri!$B$5)+Ferramenta!$D$14+Coefficienti!$B$11*Parametri!$B$6,2)</f>
        <v/>
      </c>
      <c r="K23" s="4">
        <f>ROUND((((Coefficienti!$B$1+Coefficienti!$B$2*K$22+Coefficienti!$B$3*$A23)*Parametri!$B$1+(Coefficienti!$B$4+Coefficienti!$B$5*K$22+Coefficienti!$B$6*$A23)*Parametri!$B$2)*(1-Parametri!$B$3)+((Coefficienti!$B$7+Coefficienti!$B$8*K$22+Coefficienti!$B$9*$A23)+Coefficienti!$B$10)*(1-Parametri!$B$4))*(1+Parametri!$B$5)+Ferramenta!$D$14+Coefficienti!$B$11*Parametri!$B$6,2)</f>
        <v/>
      </c>
      <c r="L23" s="4">
        <f>ROUND((((Coefficienti!$B$1+Coefficienti!$B$2*L$22+Coefficienti!$B$3*$A23)*Parametri!$B$1+(Coefficienti!$B$4+Coefficienti!$B$5*L$22+Coefficienti!$B$6*$A23)*Parametri!$B$2)*(1-Parametri!$B$3)+((Coefficienti!$B$7+Coefficienti!$B$8*L$22+Coefficienti!$B$9*$A23)+Coefficienti!$B$10)*(1-Parametri!$B$4))*(1+Parametri!$B$5)+Ferramenta!$D$14+Coefficienti!$B$11*Parametri!$B$6,2)</f>
        <v/>
      </c>
      <c r="M23" s="4">
        <f>ROUND((((Coefficienti!$B$1+Coefficienti!$B$2*M$22+Coefficienti!$B$3*$A23)*Parametri!$B$1+(Coefficienti!$B$4+Coefficienti!$B$5*M$22+Coefficienti!$B$6*$A23)*Parametri!$B$2)*(1-Parametri!$B$3)+((Coefficienti!$B$7+Coefficienti!$B$8*M$22+Coefficienti!$B$9*$A23)+Coefficienti!$B$10)*(1-Parametri!$B$4))*(1+Parametri!$B$5)+Ferramenta!$D$14+Coefficienti!$B$11*Parametri!$B$6,2)</f>
        <v/>
      </c>
      <c r="N23" s="4">
        <f>ROUND((((Coefficienti!$B$1+Coefficienti!$B$2*N$22+Coefficienti!$B$3*$A23)*Parametri!$B$1+(Coefficienti!$B$4+Coefficienti!$B$5*N$22+Coefficienti!$B$6*$A23)*Parametri!$B$2)*(1-Parametri!$B$3)+((Coefficienti!$B$7+Coefficienti!$B$8*N$22+Coefficienti!$B$9*$A23)+Coefficienti!$B$10)*(1-Parametri!$B$4))*(1+Parametri!$B$5)+Ferramenta!$D$14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amenta!$D$14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amenta!$D$14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amenta!$D$14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amenta!$D$14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amenta!$D$14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amenta!$D$14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amenta!$D$14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amenta!$D$14+Coefficienti!$B$11*Parametri!$B$6,2)</f>
        <v/>
      </c>
      <c r="J24" s="4">
        <f>ROUND((((Coefficienti!$B$1+Coefficienti!$B$2*J$22+Coefficienti!$B$3*$A24)*Parametri!$B$1+(Coefficienti!$B$4+Coefficienti!$B$5*J$22+Coefficienti!$B$6*$A24)*Parametri!$B$2)*(1-Parametri!$B$3)+((Coefficienti!$B$7+Coefficienti!$B$8*J$22+Coefficienti!$B$9*$A24)+Coefficienti!$B$10)*(1-Parametri!$B$4))*(1+Parametri!$B$5)+Ferramenta!$D$14+Coefficienti!$B$11*Parametri!$B$6,2)</f>
        <v/>
      </c>
      <c r="K24" s="4">
        <f>ROUND((((Coefficienti!$B$1+Coefficienti!$B$2*K$22+Coefficienti!$B$3*$A24)*Parametri!$B$1+(Coefficienti!$B$4+Coefficienti!$B$5*K$22+Coefficienti!$B$6*$A24)*Parametri!$B$2)*(1-Parametri!$B$3)+((Coefficienti!$B$7+Coefficienti!$B$8*K$22+Coefficienti!$B$9*$A24)+Coefficienti!$B$10)*(1-Parametri!$B$4))*(1+Parametri!$B$5)+Ferramenta!$D$14+Coefficienti!$B$11*Parametri!$B$6,2)</f>
        <v/>
      </c>
      <c r="L24" s="4">
        <f>ROUND((((Coefficienti!$B$1+Coefficienti!$B$2*L$22+Coefficienti!$B$3*$A24)*Parametri!$B$1+(Coefficienti!$B$4+Coefficienti!$B$5*L$22+Coefficienti!$B$6*$A24)*Parametri!$B$2)*(1-Parametri!$B$3)+((Coefficienti!$B$7+Coefficienti!$B$8*L$22+Coefficienti!$B$9*$A24)+Coefficienti!$B$10)*(1-Parametri!$B$4))*(1+Parametri!$B$5)+Ferramenta!$D$14+Coefficienti!$B$11*Parametri!$B$6,2)</f>
        <v/>
      </c>
      <c r="M24" s="4">
        <f>ROUND((((Coefficienti!$B$1+Coefficienti!$B$2*M$22+Coefficienti!$B$3*$A24)*Parametri!$B$1+(Coefficienti!$B$4+Coefficienti!$B$5*M$22+Coefficienti!$B$6*$A24)*Parametri!$B$2)*(1-Parametri!$B$3)+((Coefficienti!$B$7+Coefficienti!$B$8*M$22+Coefficienti!$B$9*$A24)+Coefficienti!$B$10)*(1-Parametri!$B$4))*(1+Parametri!$B$5)+Ferramenta!$D$14+Coefficienti!$B$11*Parametri!$B$6,2)</f>
        <v/>
      </c>
      <c r="N24" s="4">
        <f>ROUND((((Coefficienti!$B$1+Coefficienti!$B$2*N$22+Coefficienti!$B$3*$A24)*Parametri!$B$1+(Coefficienti!$B$4+Coefficienti!$B$5*N$22+Coefficienti!$B$6*$A24)*Parametri!$B$2)*(1-Parametri!$B$3)+((Coefficienti!$B$7+Coefficienti!$B$8*N$22+Coefficienti!$B$9*$A24)+Coefficienti!$B$10)*(1-Parametri!$B$4))*(1+Parametri!$B$5)+Ferramenta!$D$14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amenta!$D$14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amenta!$D$14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amenta!$D$14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amenta!$D$14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amenta!$D$14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amenta!$D$14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amenta!$D$14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amenta!$D$14+Coefficienti!$B$11*Parametri!$B$6,2)</f>
        <v/>
      </c>
      <c r="J25" s="4">
        <f>ROUND((((Coefficienti!$B$1+Coefficienti!$B$2*J$22+Coefficienti!$B$3*$A25)*Parametri!$B$1+(Coefficienti!$B$4+Coefficienti!$B$5*J$22+Coefficienti!$B$6*$A25)*Parametri!$B$2)*(1-Parametri!$B$3)+((Coefficienti!$B$7+Coefficienti!$B$8*J$22+Coefficienti!$B$9*$A25)+Coefficienti!$B$10)*(1-Parametri!$B$4))*(1+Parametri!$B$5)+Ferramenta!$D$14+Coefficienti!$B$11*Parametri!$B$6,2)</f>
        <v/>
      </c>
      <c r="K25" s="4">
        <f>ROUND((((Coefficienti!$B$1+Coefficienti!$B$2*K$22+Coefficienti!$B$3*$A25)*Parametri!$B$1+(Coefficienti!$B$4+Coefficienti!$B$5*K$22+Coefficienti!$B$6*$A25)*Parametri!$B$2)*(1-Parametri!$B$3)+((Coefficienti!$B$7+Coefficienti!$B$8*K$22+Coefficienti!$B$9*$A25)+Coefficienti!$B$10)*(1-Parametri!$B$4))*(1+Parametri!$B$5)+Ferramenta!$D$14+Coefficienti!$B$11*Parametri!$B$6,2)</f>
        <v/>
      </c>
      <c r="L25" s="4">
        <f>ROUND((((Coefficienti!$B$1+Coefficienti!$B$2*L$22+Coefficienti!$B$3*$A25)*Parametri!$B$1+(Coefficienti!$B$4+Coefficienti!$B$5*L$22+Coefficienti!$B$6*$A25)*Parametri!$B$2)*(1-Parametri!$B$3)+((Coefficienti!$B$7+Coefficienti!$B$8*L$22+Coefficienti!$B$9*$A25)+Coefficienti!$B$10)*(1-Parametri!$B$4))*(1+Parametri!$B$5)+Ferramenta!$D$14+Coefficienti!$B$11*Parametri!$B$6,2)</f>
        <v/>
      </c>
      <c r="M25" s="4">
        <f>ROUND((((Coefficienti!$B$1+Coefficienti!$B$2*M$22+Coefficienti!$B$3*$A25)*Parametri!$B$1+(Coefficienti!$B$4+Coefficienti!$B$5*M$22+Coefficienti!$B$6*$A25)*Parametri!$B$2)*(1-Parametri!$B$3)+((Coefficienti!$B$7+Coefficienti!$B$8*M$22+Coefficienti!$B$9*$A25)+Coefficienti!$B$10)*(1-Parametri!$B$4))*(1+Parametri!$B$5)+Ferramenta!$D$14+Coefficienti!$B$11*Parametri!$B$6,2)</f>
        <v/>
      </c>
      <c r="N25" s="4">
        <f>ROUND((((Coefficienti!$B$1+Coefficienti!$B$2*N$22+Coefficienti!$B$3*$A25)*Parametri!$B$1+(Coefficienti!$B$4+Coefficienti!$B$5*N$22+Coefficienti!$B$6*$A25)*Parametri!$B$2)*(1-Parametri!$B$3)+((Coefficienti!$B$7+Coefficienti!$B$8*N$22+Coefficienti!$B$9*$A25)+Coefficienti!$B$10)*(1-Parametri!$B$4))*(1+Parametri!$B$5)+Ferramenta!$D$14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amenta!$D$14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amenta!$D$14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amenta!$D$14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amenta!$D$14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amenta!$D$14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amenta!$D$14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amenta!$D$14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amenta!$D$14+Coefficienti!$B$11*Parametri!$B$6,2)</f>
        <v/>
      </c>
      <c r="J26" s="4">
        <f>ROUND((((Coefficienti!$B$1+Coefficienti!$B$2*J$22+Coefficienti!$B$3*$A26)*Parametri!$B$1+(Coefficienti!$B$4+Coefficienti!$B$5*J$22+Coefficienti!$B$6*$A26)*Parametri!$B$2)*(1-Parametri!$B$3)+((Coefficienti!$B$7+Coefficienti!$B$8*J$22+Coefficienti!$B$9*$A26)+Coefficienti!$B$10)*(1-Parametri!$B$4))*(1+Parametri!$B$5)+Ferramenta!$D$14+Coefficienti!$B$11*Parametri!$B$6,2)</f>
        <v/>
      </c>
      <c r="K26" s="4">
        <f>ROUND((((Coefficienti!$B$1+Coefficienti!$B$2*K$22+Coefficienti!$B$3*$A26)*Parametri!$B$1+(Coefficienti!$B$4+Coefficienti!$B$5*K$22+Coefficienti!$B$6*$A26)*Parametri!$B$2)*(1-Parametri!$B$3)+((Coefficienti!$B$7+Coefficienti!$B$8*K$22+Coefficienti!$B$9*$A26)+Coefficienti!$B$10)*(1-Parametri!$B$4))*(1+Parametri!$B$5)+Ferramenta!$D$14+Coefficienti!$B$11*Parametri!$B$6,2)</f>
        <v/>
      </c>
      <c r="L26" s="4">
        <f>ROUND((((Coefficienti!$B$1+Coefficienti!$B$2*L$22+Coefficienti!$B$3*$A26)*Parametri!$B$1+(Coefficienti!$B$4+Coefficienti!$B$5*L$22+Coefficienti!$B$6*$A26)*Parametri!$B$2)*(1-Parametri!$B$3)+((Coefficienti!$B$7+Coefficienti!$B$8*L$22+Coefficienti!$B$9*$A26)+Coefficienti!$B$10)*(1-Parametri!$B$4))*(1+Parametri!$B$5)+Ferramenta!$D$14+Coefficienti!$B$11*Parametri!$B$6,2)</f>
        <v/>
      </c>
      <c r="M26" s="4">
        <f>ROUND((((Coefficienti!$B$1+Coefficienti!$B$2*M$22+Coefficienti!$B$3*$A26)*Parametri!$B$1+(Coefficienti!$B$4+Coefficienti!$B$5*M$22+Coefficienti!$B$6*$A26)*Parametri!$B$2)*(1-Parametri!$B$3)+((Coefficienti!$B$7+Coefficienti!$B$8*M$22+Coefficienti!$B$9*$A26)+Coefficienti!$B$10)*(1-Parametri!$B$4))*(1+Parametri!$B$5)+Ferramenta!$D$14+Coefficienti!$B$11*Parametri!$B$6,2)</f>
        <v/>
      </c>
      <c r="N26" s="4">
        <f>ROUND((((Coefficienti!$B$1+Coefficienti!$B$2*N$22+Coefficienti!$B$3*$A26)*Parametri!$B$1+(Coefficienti!$B$4+Coefficienti!$B$5*N$22+Coefficienti!$B$6*$A26)*Parametri!$B$2)*(1-Parametri!$B$3)+((Coefficienti!$B$7+Coefficienti!$B$8*N$22+Coefficienti!$B$9*$A26)+Coefficienti!$B$10)*(1-Parametri!$B$4))*(1+Parametri!$B$5)+Ferramenta!$D$14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amenta!$D$14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amenta!$D$14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amenta!$D$14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amenta!$D$14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amenta!$D$14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amenta!$D$14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amenta!$D$14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amenta!$D$14+Coefficienti!$B$11*Parametri!$B$6,2)</f>
        <v/>
      </c>
      <c r="J27" s="4">
        <f>ROUND((((Coefficienti!$B$1+Coefficienti!$B$2*J$22+Coefficienti!$B$3*$A27)*Parametri!$B$1+(Coefficienti!$B$4+Coefficienti!$B$5*J$22+Coefficienti!$B$6*$A27)*Parametri!$B$2)*(1-Parametri!$B$3)+((Coefficienti!$B$7+Coefficienti!$B$8*J$22+Coefficienti!$B$9*$A27)+Coefficienti!$B$10)*(1-Parametri!$B$4))*(1+Parametri!$B$5)+Ferramenta!$D$14+Coefficienti!$B$11*Parametri!$B$6,2)</f>
        <v/>
      </c>
      <c r="K27" s="4">
        <f>ROUND((((Coefficienti!$B$1+Coefficienti!$B$2*K$22+Coefficienti!$B$3*$A27)*Parametri!$B$1+(Coefficienti!$B$4+Coefficienti!$B$5*K$22+Coefficienti!$B$6*$A27)*Parametri!$B$2)*(1-Parametri!$B$3)+((Coefficienti!$B$7+Coefficienti!$B$8*K$22+Coefficienti!$B$9*$A27)+Coefficienti!$B$10)*(1-Parametri!$B$4))*(1+Parametri!$B$5)+Ferramenta!$D$14+Coefficienti!$B$11*Parametri!$B$6,2)</f>
        <v/>
      </c>
      <c r="L27" s="4">
        <f>ROUND((((Coefficienti!$B$1+Coefficienti!$B$2*L$22+Coefficienti!$B$3*$A27)*Parametri!$B$1+(Coefficienti!$B$4+Coefficienti!$B$5*L$22+Coefficienti!$B$6*$A27)*Parametri!$B$2)*(1-Parametri!$B$3)+((Coefficienti!$B$7+Coefficienti!$B$8*L$22+Coefficienti!$B$9*$A27)+Coefficienti!$B$10)*(1-Parametri!$B$4))*(1+Parametri!$B$5)+Ferramenta!$D$14+Coefficienti!$B$11*Parametri!$B$6,2)</f>
        <v/>
      </c>
      <c r="M27" s="4">
        <f>ROUND((((Coefficienti!$B$1+Coefficienti!$B$2*M$22+Coefficienti!$B$3*$A27)*Parametri!$B$1+(Coefficienti!$B$4+Coefficienti!$B$5*M$22+Coefficienti!$B$6*$A27)*Parametri!$B$2)*(1-Parametri!$B$3)+((Coefficienti!$B$7+Coefficienti!$B$8*M$22+Coefficienti!$B$9*$A27)+Coefficienti!$B$10)*(1-Parametri!$B$4))*(1+Parametri!$B$5)+Ferramenta!$D$14+Coefficienti!$B$11*Parametri!$B$6,2)</f>
        <v/>
      </c>
      <c r="N27" s="4">
        <f>ROUND((((Coefficienti!$B$1+Coefficienti!$B$2*N$22+Coefficienti!$B$3*$A27)*Parametri!$B$1+(Coefficienti!$B$4+Coefficienti!$B$5*N$22+Coefficienti!$B$6*$A27)*Parametri!$B$2)*(1-Parametri!$B$3)+((Coefficienti!$B$7+Coefficienti!$B$8*N$22+Coefficienti!$B$9*$A27)+Coefficienti!$B$10)*(1-Parametri!$B$4))*(1+Parametri!$B$5)+Ferramenta!$D$14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amenta!$D$14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amenta!$D$14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amenta!$D$14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amenta!$D$14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amenta!$D$14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amenta!$D$14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amenta!$D$14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amenta!$D$14+Coefficienti!$B$11*Parametri!$B$6,2)</f>
        <v/>
      </c>
      <c r="J28" s="4">
        <f>ROUND((((Coefficienti!$B$1+Coefficienti!$B$2*J$22+Coefficienti!$B$3*$A28)*Parametri!$B$1+(Coefficienti!$B$4+Coefficienti!$B$5*J$22+Coefficienti!$B$6*$A28)*Parametri!$B$2)*(1-Parametri!$B$3)+((Coefficienti!$B$7+Coefficienti!$B$8*J$22+Coefficienti!$B$9*$A28)+Coefficienti!$B$10)*(1-Parametri!$B$4))*(1+Parametri!$B$5)+Ferramenta!$D$14+Coefficienti!$B$11*Parametri!$B$6,2)</f>
        <v/>
      </c>
      <c r="K28" s="4">
        <f>ROUND((((Coefficienti!$B$1+Coefficienti!$B$2*K$22+Coefficienti!$B$3*$A28)*Parametri!$B$1+(Coefficienti!$B$4+Coefficienti!$B$5*K$22+Coefficienti!$B$6*$A28)*Parametri!$B$2)*(1-Parametri!$B$3)+((Coefficienti!$B$7+Coefficienti!$B$8*K$22+Coefficienti!$B$9*$A28)+Coefficienti!$B$10)*(1-Parametri!$B$4))*(1+Parametri!$B$5)+Ferramenta!$D$14+Coefficienti!$B$11*Parametri!$B$6,2)</f>
        <v/>
      </c>
      <c r="L28" s="4">
        <f>ROUND((((Coefficienti!$B$1+Coefficienti!$B$2*L$22+Coefficienti!$B$3*$A28)*Parametri!$B$1+(Coefficienti!$B$4+Coefficienti!$B$5*L$22+Coefficienti!$B$6*$A28)*Parametri!$B$2)*(1-Parametri!$B$3)+((Coefficienti!$B$7+Coefficienti!$B$8*L$22+Coefficienti!$B$9*$A28)+Coefficienti!$B$10)*(1-Parametri!$B$4))*(1+Parametri!$B$5)+Ferramenta!$D$14+Coefficienti!$B$11*Parametri!$B$6,2)</f>
        <v/>
      </c>
      <c r="M28" s="4">
        <f>ROUND((((Coefficienti!$B$1+Coefficienti!$B$2*M$22+Coefficienti!$B$3*$A28)*Parametri!$B$1+(Coefficienti!$B$4+Coefficienti!$B$5*M$22+Coefficienti!$B$6*$A28)*Parametri!$B$2)*(1-Parametri!$B$3)+((Coefficienti!$B$7+Coefficienti!$B$8*M$22+Coefficienti!$B$9*$A28)+Coefficienti!$B$10)*(1-Parametri!$B$4))*(1+Parametri!$B$5)+Ferramenta!$D$14+Coefficienti!$B$11*Parametri!$B$6,2)</f>
        <v/>
      </c>
      <c r="N28" s="4">
        <f>ROUND((((Coefficienti!$B$1+Coefficienti!$B$2*N$22+Coefficienti!$B$3*$A28)*Parametri!$B$1+(Coefficienti!$B$4+Coefficienti!$B$5*N$22+Coefficienti!$B$6*$A28)*Parametri!$B$2)*(1-Parametri!$B$3)+((Coefficienti!$B$7+Coefficienti!$B$8*N$22+Coefficienti!$B$9*$A28)+Coefficienti!$B$10)*(1-Parametri!$B$4))*(1+Parametri!$B$5)+Ferramenta!$D$14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amenta!$D$14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amenta!$D$14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amenta!$D$14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amenta!$D$14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amenta!$D$14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amenta!$D$14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amenta!$D$14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amenta!$D$14+Coefficienti!$B$11*Parametri!$B$6,2)</f>
        <v/>
      </c>
      <c r="J29" s="4">
        <f>ROUND((((Coefficienti!$B$1+Coefficienti!$B$2*J$22+Coefficienti!$B$3*$A29)*Parametri!$B$1+(Coefficienti!$B$4+Coefficienti!$B$5*J$22+Coefficienti!$B$6*$A29)*Parametri!$B$2)*(1-Parametri!$B$3)+((Coefficienti!$B$7+Coefficienti!$B$8*J$22+Coefficienti!$B$9*$A29)+Coefficienti!$B$10)*(1-Parametri!$B$4))*(1+Parametri!$B$5)+Ferramenta!$D$14+Coefficienti!$B$11*Parametri!$B$6,2)</f>
        <v/>
      </c>
      <c r="K29" s="4">
        <f>ROUND((((Coefficienti!$B$1+Coefficienti!$B$2*K$22+Coefficienti!$B$3*$A29)*Parametri!$B$1+(Coefficienti!$B$4+Coefficienti!$B$5*K$22+Coefficienti!$B$6*$A29)*Parametri!$B$2)*(1-Parametri!$B$3)+((Coefficienti!$B$7+Coefficienti!$B$8*K$22+Coefficienti!$B$9*$A29)+Coefficienti!$B$10)*(1-Parametri!$B$4))*(1+Parametri!$B$5)+Ferramenta!$D$14+Coefficienti!$B$11*Parametri!$B$6,2)</f>
        <v/>
      </c>
      <c r="L29" s="4">
        <f>ROUND((((Coefficienti!$B$1+Coefficienti!$B$2*L$22+Coefficienti!$B$3*$A29)*Parametri!$B$1+(Coefficienti!$B$4+Coefficienti!$B$5*L$22+Coefficienti!$B$6*$A29)*Parametri!$B$2)*(1-Parametri!$B$3)+((Coefficienti!$B$7+Coefficienti!$B$8*L$22+Coefficienti!$B$9*$A29)+Coefficienti!$B$10)*(1-Parametri!$B$4))*(1+Parametri!$B$5)+Ferramenta!$D$14+Coefficienti!$B$11*Parametri!$B$6,2)</f>
        <v/>
      </c>
      <c r="M29" s="4">
        <f>ROUND((((Coefficienti!$B$1+Coefficienti!$B$2*M$22+Coefficienti!$B$3*$A29)*Parametri!$B$1+(Coefficienti!$B$4+Coefficienti!$B$5*M$22+Coefficienti!$B$6*$A29)*Parametri!$B$2)*(1-Parametri!$B$3)+((Coefficienti!$B$7+Coefficienti!$B$8*M$22+Coefficienti!$B$9*$A29)+Coefficienti!$B$10)*(1-Parametri!$B$4))*(1+Parametri!$B$5)+Ferramenta!$D$14+Coefficienti!$B$11*Parametri!$B$6,2)</f>
        <v/>
      </c>
      <c r="N29" s="4">
        <f>ROUND((((Coefficienti!$B$1+Coefficienti!$B$2*N$22+Coefficienti!$B$3*$A29)*Parametri!$B$1+(Coefficienti!$B$4+Coefficienti!$B$5*N$22+Coefficienti!$B$6*$A29)*Parametri!$B$2)*(1-Parametri!$B$3)+((Coefficienti!$B$7+Coefficienti!$B$8*N$22+Coefficienti!$B$9*$A29)+Coefficienti!$B$10)*(1-Parametri!$B$4))*(1+Parametri!$B$5)+Ferramenta!$D$14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amenta!$D$14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amenta!$D$14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amenta!$D$14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amenta!$D$14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amenta!$D$14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amenta!$D$14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amenta!$D$14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amenta!$D$14+Coefficienti!$B$11*Parametri!$B$6,2)</f>
        <v/>
      </c>
      <c r="J30" s="4">
        <f>ROUND((((Coefficienti!$B$1+Coefficienti!$B$2*J$22+Coefficienti!$B$3*$A30)*Parametri!$B$1+(Coefficienti!$B$4+Coefficienti!$B$5*J$22+Coefficienti!$B$6*$A30)*Parametri!$B$2)*(1-Parametri!$B$3)+((Coefficienti!$B$7+Coefficienti!$B$8*J$22+Coefficienti!$B$9*$A30)+Coefficienti!$B$10)*(1-Parametri!$B$4))*(1+Parametri!$B$5)+Ferramenta!$D$14+Coefficienti!$B$11*Parametri!$B$6,2)</f>
        <v/>
      </c>
      <c r="K30" s="4">
        <f>ROUND((((Coefficienti!$B$1+Coefficienti!$B$2*K$22+Coefficienti!$B$3*$A30)*Parametri!$B$1+(Coefficienti!$B$4+Coefficienti!$B$5*K$22+Coefficienti!$B$6*$A30)*Parametri!$B$2)*(1-Parametri!$B$3)+((Coefficienti!$B$7+Coefficienti!$B$8*K$22+Coefficienti!$B$9*$A30)+Coefficienti!$B$10)*(1-Parametri!$B$4))*(1+Parametri!$B$5)+Ferramenta!$D$14+Coefficienti!$B$11*Parametri!$B$6,2)</f>
        <v/>
      </c>
      <c r="L30" s="4">
        <f>ROUND((((Coefficienti!$B$1+Coefficienti!$B$2*L$22+Coefficienti!$B$3*$A30)*Parametri!$B$1+(Coefficienti!$B$4+Coefficienti!$B$5*L$22+Coefficienti!$B$6*$A30)*Parametri!$B$2)*(1-Parametri!$B$3)+((Coefficienti!$B$7+Coefficienti!$B$8*L$22+Coefficienti!$B$9*$A30)+Coefficienti!$B$10)*(1-Parametri!$B$4))*(1+Parametri!$B$5)+Ferramenta!$D$14+Coefficienti!$B$11*Parametri!$B$6,2)</f>
        <v/>
      </c>
      <c r="M30" s="4">
        <f>ROUND((((Coefficienti!$B$1+Coefficienti!$B$2*M$22+Coefficienti!$B$3*$A30)*Parametri!$B$1+(Coefficienti!$B$4+Coefficienti!$B$5*M$22+Coefficienti!$B$6*$A30)*Parametri!$B$2)*(1-Parametri!$B$3)+((Coefficienti!$B$7+Coefficienti!$B$8*M$22+Coefficienti!$B$9*$A30)+Coefficienti!$B$10)*(1-Parametri!$B$4))*(1+Parametri!$B$5)+Ferramenta!$D$14+Coefficienti!$B$11*Parametri!$B$6,2)</f>
        <v/>
      </c>
      <c r="N30" s="4">
        <f>ROUND((((Coefficienti!$B$1+Coefficienti!$B$2*N$22+Coefficienti!$B$3*$A30)*Parametri!$B$1+(Coefficienti!$B$4+Coefficienti!$B$5*N$22+Coefficienti!$B$6*$A30)*Parametri!$B$2)*(1-Parametri!$B$3)+((Coefficienti!$B$7+Coefficienti!$B$8*N$22+Coefficienti!$B$9*$A30)+Coefficienti!$B$10)*(1-Parametri!$B$4))*(1+Parametri!$B$5)+Ferramenta!$D$14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amenta!$D$14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amenta!$D$14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amenta!$D$14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amenta!$D$14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amenta!$D$14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amenta!$D$14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amenta!$D$14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amenta!$D$14+Coefficienti!$B$11*Parametri!$B$6,2)</f>
        <v/>
      </c>
      <c r="J31" s="4">
        <f>ROUND((((Coefficienti!$B$1+Coefficienti!$B$2*J$22+Coefficienti!$B$3*$A31)*Parametri!$B$1+(Coefficienti!$B$4+Coefficienti!$B$5*J$22+Coefficienti!$B$6*$A31)*Parametri!$B$2)*(1-Parametri!$B$3)+((Coefficienti!$B$7+Coefficienti!$B$8*J$22+Coefficienti!$B$9*$A31)+Coefficienti!$B$10)*(1-Parametri!$B$4))*(1+Parametri!$B$5)+Ferramenta!$D$14+Coefficienti!$B$11*Parametri!$B$6,2)</f>
        <v/>
      </c>
      <c r="K31" s="4">
        <f>ROUND((((Coefficienti!$B$1+Coefficienti!$B$2*K$22+Coefficienti!$B$3*$A31)*Parametri!$B$1+(Coefficienti!$B$4+Coefficienti!$B$5*K$22+Coefficienti!$B$6*$A31)*Parametri!$B$2)*(1-Parametri!$B$3)+((Coefficienti!$B$7+Coefficienti!$B$8*K$22+Coefficienti!$B$9*$A31)+Coefficienti!$B$10)*(1-Parametri!$B$4))*(1+Parametri!$B$5)+Ferramenta!$D$14+Coefficienti!$B$11*Parametri!$B$6,2)</f>
        <v/>
      </c>
      <c r="L31" s="4">
        <f>ROUND((((Coefficienti!$B$1+Coefficienti!$B$2*L$22+Coefficienti!$B$3*$A31)*Parametri!$B$1+(Coefficienti!$B$4+Coefficienti!$B$5*L$22+Coefficienti!$B$6*$A31)*Parametri!$B$2)*(1-Parametri!$B$3)+((Coefficienti!$B$7+Coefficienti!$B$8*L$22+Coefficienti!$B$9*$A31)+Coefficienti!$B$10)*(1-Parametri!$B$4))*(1+Parametri!$B$5)+Ferramenta!$D$14+Coefficienti!$B$11*Parametri!$B$6,2)</f>
        <v/>
      </c>
      <c r="M31" s="4">
        <f>ROUND((((Coefficienti!$B$1+Coefficienti!$B$2*M$22+Coefficienti!$B$3*$A31)*Parametri!$B$1+(Coefficienti!$B$4+Coefficienti!$B$5*M$22+Coefficienti!$B$6*$A31)*Parametri!$B$2)*(1-Parametri!$B$3)+((Coefficienti!$B$7+Coefficienti!$B$8*M$22+Coefficienti!$B$9*$A31)+Coefficienti!$B$10)*(1-Parametri!$B$4))*(1+Parametri!$B$5)+Ferramenta!$D$14+Coefficienti!$B$11*Parametri!$B$6,2)</f>
        <v/>
      </c>
      <c r="N31" s="4">
        <f>ROUND((((Coefficienti!$B$1+Coefficienti!$B$2*N$22+Coefficienti!$B$3*$A31)*Parametri!$B$1+(Coefficienti!$B$4+Coefficienti!$B$5*N$22+Coefficienti!$B$6*$A31)*Parametri!$B$2)*(1-Parametri!$B$3)+((Coefficienti!$B$7+Coefficienti!$B$8*N$22+Coefficienti!$B$9*$A31)+Coefficienti!$B$10)*(1-Parametri!$B$4))*(1+Parametri!$B$5)+Ferramenta!$D$14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amenta!$D$14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amenta!$D$14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amenta!$D$14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amenta!$D$14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amenta!$D$14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amenta!$D$14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amenta!$D$14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amenta!$D$14+Coefficienti!$B$11*Parametri!$B$6,2)</f>
        <v/>
      </c>
      <c r="J32" s="4">
        <f>ROUND((((Coefficienti!$B$1+Coefficienti!$B$2*J$22+Coefficienti!$B$3*$A32)*Parametri!$B$1+(Coefficienti!$B$4+Coefficienti!$B$5*J$22+Coefficienti!$B$6*$A32)*Parametri!$B$2)*(1-Parametri!$B$3)+((Coefficienti!$B$7+Coefficienti!$B$8*J$22+Coefficienti!$B$9*$A32)+Coefficienti!$B$10)*(1-Parametri!$B$4))*(1+Parametri!$B$5)+Ferramenta!$D$14+Coefficienti!$B$11*Parametri!$B$6,2)</f>
        <v/>
      </c>
      <c r="K32" s="4">
        <f>ROUND((((Coefficienti!$B$1+Coefficienti!$B$2*K$22+Coefficienti!$B$3*$A32)*Parametri!$B$1+(Coefficienti!$B$4+Coefficienti!$B$5*K$22+Coefficienti!$B$6*$A32)*Parametri!$B$2)*(1-Parametri!$B$3)+((Coefficienti!$B$7+Coefficienti!$B$8*K$22+Coefficienti!$B$9*$A32)+Coefficienti!$B$10)*(1-Parametri!$B$4))*(1+Parametri!$B$5)+Ferramenta!$D$14+Coefficienti!$B$11*Parametri!$B$6,2)</f>
        <v/>
      </c>
      <c r="L32" s="4">
        <f>ROUND((((Coefficienti!$B$1+Coefficienti!$B$2*L$22+Coefficienti!$B$3*$A32)*Parametri!$B$1+(Coefficienti!$B$4+Coefficienti!$B$5*L$22+Coefficienti!$B$6*$A32)*Parametri!$B$2)*(1-Parametri!$B$3)+((Coefficienti!$B$7+Coefficienti!$B$8*L$22+Coefficienti!$B$9*$A32)+Coefficienti!$B$10)*(1-Parametri!$B$4))*(1+Parametri!$B$5)+Ferramenta!$D$14+Coefficienti!$B$11*Parametri!$B$6,2)</f>
        <v/>
      </c>
      <c r="M32" s="4">
        <f>ROUND((((Coefficienti!$B$1+Coefficienti!$B$2*M$22+Coefficienti!$B$3*$A32)*Parametri!$B$1+(Coefficienti!$B$4+Coefficienti!$B$5*M$22+Coefficienti!$B$6*$A32)*Parametri!$B$2)*(1-Parametri!$B$3)+((Coefficienti!$B$7+Coefficienti!$B$8*M$22+Coefficienti!$B$9*$A32)+Coefficienti!$B$10)*(1-Parametri!$B$4))*(1+Parametri!$B$5)+Ferramenta!$D$14+Coefficienti!$B$11*Parametri!$B$6,2)</f>
        <v/>
      </c>
      <c r="N32" s="4">
        <f>ROUND((((Coefficienti!$B$1+Coefficienti!$B$2*N$22+Coefficienti!$B$3*$A32)*Parametri!$B$1+(Coefficienti!$B$4+Coefficienti!$B$5*N$22+Coefficienti!$B$6*$A32)*Parametri!$B$2)*(1-Parametri!$B$3)+((Coefficienti!$B$7+Coefficienti!$B$8*N$22+Coefficienti!$B$9*$A32)+Coefficienti!$B$10)*(1-Parametri!$B$4))*(1+Parametri!$B$5)+Ferramenta!$D$14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amenta!$D$14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amenta!$D$14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amenta!$D$14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amenta!$D$14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amenta!$D$14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amenta!$D$14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amenta!$D$14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amenta!$D$14+Coefficienti!$B$11*Parametri!$B$6,2)</f>
        <v/>
      </c>
      <c r="J33" s="4">
        <f>ROUND((((Coefficienti!$B$1+Coefficienti!$B$2*J$22+Coefficienti!$B$3*$A33)*Parametri!$B$1+(Coefficienti!$B$4+Coefficienti!$B$5*J$22+Coefficienti!$B$6*$A33)*Parametri!$B$2)*(1-Parametri!$B$3)+((Coefficienti!$B$7+Coefficienti!$B$8*J$22+Coefficienti!$B$9*$A33)+Coefficienti!$B$10)*(1-Parametri!$B$4))*(1+Parametri!$B$5)+Ferramenta!$D$14+Coefficienti!$B$11*Parametri!$B$6,2)</f>
        <v/>
      </c>
      <c r="K33" s="4">
        <f>ROUND((((Coefficienti!$B$1+Coefficienti!$B$2*K$22+Coefficienti!$B$3*$A33)*Parametri!$B$1+(Coefficienti!$B$4+Coefficienti!$B$5*K$22+Coefficienti!$B$6*$A33)*Parametri!$B$2)*(1-Parametri!$B$3)+((Coefficienti!$B$7+Coefficienti!$B$8*K$22+Coefficienti!$B$9*$A33)+Coefficienti!$B$10)*(1-Parametri!$B$4))*(1+Parametri!$B$5)+Ferramenta!$D$14+Coefficienti!$B$11*Parametri!$B$6,2)</f>
        <v/>
      </c>
      <c r="L33" s="4">
        <f>ROUND((((Coefficienti!$B$1+Coefficienti!$B$2*L$22+Coefficienti!$B$3*$A33)*Parametri!$B$1+(Coefficienti!$B$4+Coefficienti!$B$5*L$22+Coefficienti!$B$6*$A33)*Parametri!$B$2)*(1-Parametri!$B$3)+((Coefficienti!$B$7+Coefficienti!$B$8*L$22+Coefficienti!$B$9*$A33)+Coefficienti!$B$10)*(1-Parametri!$B$4))*(1+Parametri!$B$5)+Ferramenta!$D$14+Coefficienti!$B$11*Parametri!$B$6,2)</f>
        <v/>
      </c>
      <c r="M33" s="4">
        <f>ROUND((((Coefficienti!$B$1+Coefficienti!$B$2*M$22+Coefficienti!$B$3*$A33)*Parametri!$B$1+(Coefficienti!$B$4+Coefficienti!$B$5*M$22+Coefficienti!$B$6*$A33)*Parametri!$B$2)*(1-Parametri!$B$3)+((Coefficienti!$B$7+Coefficienti!$B$8*M$22+Coefficienti!$B$9*$A33)+Coefficienti!$B$10)*(1-Parametri!$B$4))*(1+Parametri!$B$5)+Ferramenta!$D$14+Coefficienti!$B$11*Parametri!$B$6,2)</f>
        <v/>
      </c>
      <c r="N33" s="4">
        <f>ROUND((((Coefficienti!$B$1+Coefficienti!$B$2*N$22+Coefficienti!$B$3*$A33)*Parametri!$B$1+(Coefficienti!$B$4+Coefficienti!$B$5*N$22+Coefficienti!$B$6*$A33)*Parametri!$B$2)*(1-Parametri!$B$3)+((Coefficienti!$B$7+Coefficienti!$B$8*N$22+Coefficienti!$B$9*$A33)+Coefficienti!$B$10)*(1-Parametri!$B$4))*(1+Parametri!$B$5)+Ferramenta!$D$14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amenta!$D$14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amenta!$D$14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amenta!$D$14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amenta!$D$14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amenta!$D$14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amenta!$D$14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amenta!$D$14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amenta!$D$14+Coefficienti!$B$11*Parametri!$B$6,2)</f>
        <v/>
      </c>
      <c r="J34" s="4">
        <f>ROUND((((Coefficienti!$B$1+Coefficienti!$B$2*J$22+Coefficienti!$B$3*$A34)*Parametri!$B$1+(Coefficienti!$B$4+Coefficienti!$B$5*J$22+Coefficienti!$B$6*$A34)*Parametri!$B$2)*(1-Parametri!$B$3)+((Coefficienti!$B$7+Coefficienti!$B$8*J$22+Coefficienti!$B$9*$A34)+Coefficienti!$B$10)*(1-Parametri!$B$4))*(1+Parametri!$B$5)+Ferramenta!$D$14+Coefficienti!$B$11*Parametri!$B$6,2)</f>
        <v/>
      </c>
      <c r="K34" s="4">
        <f>ROUND((((Coefficienti!$B$1+Coefficienti!$B$2*K$22+Coefficienti!$B$3*$A34)*Parametri!$B$1+(Coefficienti!$B$4+Coefficienti!$B$5*K$22+Coefficienti!$B$6*$A34)*Parametri!$B$2)*(1-Parametri!$B$3)+((Coefficienti!$B$7+Coefficienti!$B$8*K$22+Coefficienti!$B$9*$A34)+Coefficienti!$B$10)*(1-Parametri!$B$4))*(1+Parametri!$B$5)+Ferramenta!$D$14+Coefficienti!$B$11*Parametri!$B$6,2)</f>
        <v/>
      </c>
      <c r="L34" s="4">
        <f>ROUND((((Coefficienti!$B$1+Coefficienti!$B$2*L$22+Coefficienti!$B$3*$A34)*Parametri!$B$1+(Coefficienti!$B$4+Coefficienti!$B$5*L$22+Coefficienti!$B$6*$A34)*Parametri!$B$2)*(1-Parametri!$B$3)+((Coefficienti!$B$7+Coefficienti!$B$8*L$22+Coefficienti!$B$9*$A34)+Coefficienti!$B$10)*(1-Parametri!$B$4))*(1+Parametri!$B$5)+Ferramenta!$D$14+Coefficienti!$B$11*Parametri!$B$6,2)</f>
        <v/>
      </c>
      <c r="M34" s="4">
        <f>ROUND((((Coefficienti!$B$1+Coefficienti!$B$2*M$22+Coefficienti!$B$3*$A34)*Parametri!$B$1+(Coefficienti!$B$4+Coefficienti!$B$5*M$22+Coefficienti!$B$6*$A34)*Parametri!$B$2)*(1-Parametri!$B$3)+((Coefficienti!$B$7+Coefficienti!$B$8*M$22+Coefficienti!$B$9*$A34)+Coefficienti!$B$10)*(1-Parametri!$B$4))*(1+Parametri!$B$5)+Ferramenta!$D$14+Coefficienti!$B$11*Parametri!$B$6,2)</f>
        <v/>
      </c>
      <c r="N34" s="4">
        <f>ROUND((((Coefficienti!$B$1+Coefficienti!$B$2*N$22+Coefficienti!$B$3*$A34)*Parametri!$B$1+(Coefficienti!$B$4+Coefficienti!$B$5*N$22+Coefficienti!$B$6*$A34)*Parametri!$B$2)*(1-Parametri!$B$3)+((Coefficienti!$B$7+Coefficienti!$B$8*N$22+Coefficienti!$B$9*$A34)+Coefficienti!$B$10)*(1-Parametri!$B$4))*(1+Parametri!$B$5)+Ferramenta!$D$14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amenta!$D$14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amenta!$D$14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amenta!$D$14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amenta!$D$14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amenta!$D$14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amenta!$D$14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amenta!$D$14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amenta!$D$14+Coefficienti!$B$11*Parametri!$B$6,2)</f>
        <v/>
      </c>
      <c r="J35" s="4">
        <f>ROUND((((Coefficienti!$B$1+Coefficienti!$B$2*J$22+Coefficienti!$B$3*$A35)*Parametri!$B$1+(Coefficienti!$B$4+Coefficienti!$B$5*J$22+Coefficienti!$B$6*$A35)*Parametri!$B$2)*(1-Parametri!$B$3)+((Coefficienti!$B$7+Coefficienti!$B$8*J$22+Coefficienti!$B$9*$A35)+Coefficienti!$B$10)*(1-Parametri!$B$4))*(1+Parametri!$B$5)+Ferramenta!$D$14+Coefficienti!$B$11*Parametri!$B$6,2)</f>
        <v/>
      </c>
      <c r="K35" s="4">
        <f>ROUND((((Coefficienti!$B$1+Coefficienti!$B$2*K$22+Coefficienti!$B$3*$A35)*Parametri!$B$1+(Coefficienti!$B$4+Coefficienti!$B$5*K$22+Coefficienti!$B$6*$A35)*Parametri!$B$2)*(1-Parametri!$B$3)+((Coefficienti!$B$7+Coefficienti!$B$8*K$22+Coefficienti!$B$9*$A35)+Coefficienti!$B$10)*(1-Parametri!$B$4))*(1+Parametri!$B$5)+Ferramenta!$D$14+Coefficienti!$B$11*Parametri!$B$6,2)</f>
        <v/>
      </c>
      <c r="L35" s="4">
        <f>ROUND((((Coefficienti!$B$1+Coefficienti!$B$2*L$22+Coefficienti!$B$3*$A35)*Parametri!$B$1+(Coefficienti!$B$4+Coefficienti!$B$5*L$22+Coefficienti!$B$6*$A35)*Parametri!$B$2)*(1-Parametri!$B$3)+((Coefficienti!$B$7+Coefficienti!$B$8*L$22+Coefficienti!$B$9*$A35)+Coefficienti!$B$10)*(1-Parametri!$B$4))*(1+Parametri!$B$5)+Ferramenta!$D$14+Coefficienti!$B$11*Parametri!$B$6,2)</f>
        <v/>
      </c>
      <c r="M35" s="4">
        <f>ROUND((((Coefficienti!$B$1+Coefficienti!$B$2*M$22+Coefficienti!$B$3*$A35)*Parametri!$B$1+(Coefficienti!$B$4+Coefficienti!$B$5*M$22+Coefficienti!$B$6*$A35)*Parametri!$B$2)*(1-Parametri!$B$3)+((Coefficienti!$B$7+Coefficienti!$B$8*M$22+Coefficienti!$B$9*$A35)+Coefficienti!$B$10)*(1-Parametri!$B$4))*(1+Parametri!$B$5)+Ferramenta!$D$14+Coefficienti!$B$11*Parametri!$B$6,2)</f>
        <v/>
      </c>
      <c r="N35" s="4">
        <f>ROUND((((Coefficienti!$B$1+Coefficienti!$B$2*N$22+Coefficienti!$B$3*$A35)*Parametri!$B$1+(Coefficienti!$B$4+Coefficienti!$B$5*N$22+Coefficienti!$B$6*$A35)*Parametri!$B$2)*(1-Parametri!$B$3)+((Coefficienti!$B$7+Coefficienti!$B$8*N$22+Coefficienti!$B$9*$A35)+Coefficienti!$B$10)*(1-Parametri!$B$4))*(1+Parametri!$B$5)+Ferramenta!$D$14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amenta!$D$14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amenta!$D$14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amenta!$D$14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amenta!$D$14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amenta!$D$14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amenta!$D$14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amenta!$D$14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amenta!$D$14+Coefficienti!$B$11*Parametri!$B$6,2)</f>
        <v/>
      </c>
      <c r="J36" s="4">
        <f>ROUND((((Coefficienti!$B$1+Coefficienti!$B$2*J$22+Coefficienti!$B$3*$A36)*Parametri!$B$1+(Coefficienti!$B$4+Coefficienti!$B$5*J$22+Coefficienti!$B$6*$A36)*Parametri!$B$2)*(1-Parametri!$B$3)+((Coefficienti!$B$7+Coefficienti!$B$8*J$22+Coefficienti!$B$9*$A36)+Coefficienti!$B$10)*(1-Parametri!$B$4))*(1+Parametri!$B$5)+Ferramenta!$D$14+Coefficienti!$B$11*Parametri!$B$6,2)</f>
        <v/>
      </c>
      <c r="K36" s="4">
        <f>ROUND((((Coefficienti!$B$1+Coefficienti!$B$2*K$22+Coefficienti!$B$3*$A36)*Parametri!$B$1+(Coefficienti!$B$4+Coefficienti!$B$5*K$22+Coefficienti!$B$6*$A36)*Parametri!$B$2)*(1-Parametri!$B$3)+((Coefficienti!$B$7+Coefficienti!$B$8*K$22+Coefficienti!$B$9*$A36)+Coefficienti!$B$10)*(1-Parametri!$B$4))*(1+Parametri!$B$5)+Ferramenta!$D$14+Coefficienti!$B$11*Parametri!$B$6,2)</f>
        <v/>
      </c>
      <c r="L36" s="4">
        <f>ROUND((((Coefficienti!$B$1+Coefficienti!$B$2*L$22+Coefficienti!$B$3*$A36)*Parametri!$B$1+(Coefficienti!$B$4+Coefficienti!$B$5*L$22+Coefficienti!$B$6*$A36)*Parametri!$B$2)*(1-Parametri!$B$3)+((Coefficienti!$B$7+Coefficienti!$B$8*L$22+Coefficienti!$B$9*$A36)+Coefficienti!$B$10)*(1-Parametri!$B$4))*(1+Parametri!$B$5)+Ferramenta!$D$14+Coefficienti!$B$11*Parametri!$B$6,2)</f>
        <v/>
      </c>
      <c r="M36" s="4">
        <f>ROUND((((Coefficienti!$B$1+Coefficienti!$B$2*M$22+Coefficienti!$B$3*$A36)*Parametri!$B$1+(Coefficienti!$B$4+Coefficienti!$B$5*M$22+Coefficienti!$B$6*$A36)*Parametri!$B$2)*(1-Parametri!$B$3)+((Coefficienti!$B$7+Coefficienti!$B$8*M$22+Coefficienti!$B$9*$A36)+Coefficienti!$B$10)*(1-Parametri!$B$4))*(1+Parametri!$B$5)+Ferramenta!$D$14+Coefficienti!$B$11*Parametri!$B$6,2)</f>
        <v/>
      </c>
      <c r="N36" s="4">
        <f>ROUND((((Coefficienti!$B$1+Coefficienti!$B$2*N$22+Coefficienti!$B$3*$A36)*Parametri!$B$1+(Coefficienti!$B$4+Coefficienti!$B$5*N$22+Coefficienti!$B$6*$A36)*Parametri!$B$2)*(1-Parametri!$B$3)+((Coefficienti!$B$7+Coefficienti!$B$8*N$22+Coefficienti!$B$9*$A36)+Coefficienti!$B$10)*(1-Parametri!$B$4))*(1+Parametri!$B$5)+Ferramenta!$D$14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amenta!$D$14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amenta!$D$14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amenta!$D$14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amenta!$D$14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amenta!$D$14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amenta!$D$14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amenta!$D$14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amenta!$D$14+Coefficienti!$B$11*Parametri!$B$6,2)</f>
        <v/>
      </c>
      <c r="J37" s="4">
        <f>ROUND((((Coefficienti!$B$1+Coefficienti!$B$2*J$22+Coefficienti!$B$3*$A37)*Parametri!$B$1+(Coefficienti!$B$4+Coefficienti!$B$5*J$22+Coefficienti!$B$6*$A37)*Parametri!$B$2)*(1-Parametri!$B$3)+((Coefficienti!$B$7+Coefficienti!$B$8*J$22+Coefficienti!$B$9*$A37)+Coefficienti!$B$10)*(1-Parametri!$B$4))*(1+Parametri!$B$5)+Ferramenta!$D$14+Coefficienti!$B$11*Parametri!$B$6,2)</f>
        <v/>
      </c>
      <c r="K37" s="4">
        <f>ROUND((((Coefficienti!$B$1+Coefficienti!$B$2*K$22+Coefficienti!$B$3*$A37)*Parametri!$B$1+(Coefficienti!$B$4+Coefficienti!$B$5*K$22+Coefficienti!$B$6*$A37)*Parametri!$B$2)*(1-Parametri!$B$3)+((Coefficienti!$B$7+Coefficienti!$B$8*K$22+Coefficienti!$B$9*$A37)+Coefficienti!$B$10)*(1-Parametri!$B$4))*(1+Parametri!$B$5)+Ferramenta!$D$14+Coefficienti!$B$11*Parametri!$B$6,2)</f>
        <v/>
      </c>
      <c r="L37" s="4">
        <f>ROUND((((Coefficienti!$B$1+Coefficienti!$B$2*L$22+Coefficienti!$B$3*$A37)*Parametri!$B$1+(Coefficienti!$B$4+Coefficienti!$B$5*L$22+Coefficienti!$B$6*$A37)*Parametri!$B$2)*(1-Parametri!$B$3)+((Coefficienti!$B$7+Coefficienti!$B$8*L$22+Coefficienti!$B$9*$A37)+Coefficienti!$B$10)*(1-Parametri!$B$4))*(1+Parametri!$B$5)+Ferramenta!$D$14+Coefficienti!$B$11*Parametri!$B$6,2)</f>
        <v/>
      </c>
      <c r="M37" s="4">
        <f>ROUND((((Coefficienti!$B$1+Coefficienti!$B$2*M$22+Coefficienti!$B$3*$A37)*Parametri!$B$1+(Coefficienti!$B$4+Coefficienti!$B$5*M$22+Coefficienti!$B$6*$A37)*Parametri!$B$2)*(1-Parametri!$B$3)+((Coefficienti!$B$7+Coefficienti!$B$8*M$22+Coefficienti!$B$9*$A37)+Coefficienti!$B$10)*(1-Parametri!$B$4))*(1+Parametri!$B$5)+Ferramenta!$D$14+Coefficienti!$B$11*Parametri!$B$6,2)</f>
        <v/>
      </c>
      <c r="N37" s="4">
        <f>ROUND((((Coefficienti!$B$1+Coefficienti!$B$2*N$22+Coefficienti!$B$3*$A37)*Parametri!$B$1+(Coefficienti!$B$4+Coefficienti!$B$5*N$22+Coefficienti!$B$6*$A37)*Parametri!$B$2)*(1-Parametri!$B$3)+((Coefficienti!$B$7+Coefficienti!$B$8*N$22+Coefficienti!$B$9*$A37)+Coefficienti!$B$10)*(1-Parametri!$B$4))*(1+Parametri!$B$5)+Ferramenta!$D$14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amenta!$D$14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amenta!$D$14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amenta!$D$14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amenta!$D$14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amenta!$D$14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amenta!$D$14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amenta!$D$14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amenta!$D$14+Coefficienti!$B$11*Parametri!$B$6,2)</f>
        <v/>
      </c>
      <c r="J38" s="4">
        <f>ROUND((((Coefficienti!$B$1+Coefficienti!$B$2*J$22+Coefficienti!$B$3*$A38)*Parametri!$B$1+(Coefficienti!$B$4+Coefficienti!$B$5*J$22+Coefficienti!$B$6*$A38)*Parametri!$B$2)*(1-Parametri!$B$3)+((Coefficienti!$B$7+Coefficienti!$B$8*J$22+Coefficienti!$B$9*$A38)+Coefficienti!$B$10)*(1-Parametri!$B$4))*(1+Parametri!$B$5)+Ferramenta!$D$14+Coefficienti!$B$11*Parametri!$B$6,2)</f>
        <v/>
      </c>
      <c r="K38" s="4">
        <f>ROUND((((Coefficienti!$B$1+Coefficienti!$B$2*K$22+Coefficienti!$B$3*$A38)*Parametri!$B$1+(Coefficienti!$B$4+Coefficienti!$B$5*K$22+Coefficienti!$B$6*$A38)*Parametri!$B$2)*(1-Parametri!$B$3)+((Coefficienti!$B$7+Coefficienti!$B$8*K$22+Coefficienti!$B$9*$A38)+Coefficienti!$B$10)*(1-Parametri!$B$4))*(1+Parametri!$B$5)+Ferramenta!$D$14+Coefficienti!$B$11*Parametri!$B$6,2)</f>
        <v/>
      </c>
      <c r="L38" s="4">
        <f>ROUND((((Coefficienti!$B$1+Coefficienti!$B$2*L$22+Coefficienti!$B$3*$A38)*Parametri!$B$1+(Coefficienti!$B$4+Coefficienti!$B$5*L$22+Coefficienti!$B$6*$A38)*Parametri!$B$2)*(1-Parametri!$B$3)+((Coefficienti!$B$7+Coefficienti!$B$8*L$22+Coefficienti!$B$9*$A38)+Coefficienti!$B$10)*(1-Parametri!$B$4))*(1+Parametri!$B$5)+Ferramenta!$D$14+Coefficienti!$B$11*Parametri!$B$6,2)</f>
        <v/>
      </c>
      <c r="M38" s="4">
        <f>ROUND((((Coefficienti!$B$1+Coefficienti!$B$2*M$22+Coefficienti!$B$3*$A38)*Parametri!$B$1+(Coefficienti!$B$4+Coefficienti!$B$5*M$22+Coefficienti!$B$6*$A38)*Parametri!$B$2)*(1-Parametri!$B$3)+((Coefficienti!$B$7+Coefficienti!$B$8*M$22+Coefficienti!$B$9*$A38)+Coefficienti!$B$10)*(1-Parametri!$B$4))*(1+Parametri!$B$5)+Ferramenta!$D$14+Coefficienti!$B$11*Parametri!$B$6,2)</f>
        <v/>
      </c>
      <c r="N38" s="4">
        <f>ROUND((((Coefficienti!$B$1+Coefficienti!$B$2*N$22+Coefficienti!$B$3*$A38)*Parametri!$B$1+(Coefficienti!$B$4+Coefficienti!$B$5*N$22+Coefficienti!$B$6*$A38)*Parametri!$B$2)*(1-Parametri!$B$3)+((Coefficienti!$B$7+Coefficienti!$B$8*N$22+Coefficienti!$B$9*$A38)+Coefficienti!$B$10)*(1-Parametri!$B$4))*(1+Parametri!$B$5)+Ferramenta!$D$14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-0.36516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-0.44795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54.91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</row>
    <row r="2">
      <c r="A2" s="5" t="inlineStr">
        <is>
          <t>Martellina DK (1033) — non nel netto 2025</t>
        </is>
      </c>
      <c r="B2" s="8" t="n">
        <v>1</v>
      </c>
      <c r="C2" s="6" t="n">
        <v>5.5</v>
      </c>
      <c r="D2" s="4">
        <f>B2*C2</f>
        <v/>
      </c>
      <c r="E2" s="5" t="inlineStr">
        <is>
          <t>manuale</t>
        </is>
      </c>
    </row>
    <row r="3">
      <c r="A3" s="5" t="inlineStr">
        <is>
          <t>Cremonese Multi Matic GR1590 (201745)</t>
        </is>
      </c>
      <c r="B3" s="8" t="n">
        <v>1</v>
      </c>
      <c r="C3" s="6" t="n">
        <v>3.57</v>
      </c>
      <c r="D3" s="4">
        <f>B3*C3</f>
        <v/>
      </c>
      <c r="E3" s="5" t="inlineStr">
        <is>
          <t>netto 2025</t>
        </is>
      </c>
    </row>
    <row r="4">
      <c r="A4" s="5" t="inlineStr">
        <is>
          <t>Chiusura centrale MM (201752)</t>
        </is>
      </c>
      <c r="B4" s="8" t="n">
        <v>1</v>
      </c>
      <c r="C4" s="6" t="n">
        <v>1.26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prolungabile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Scontro fungo scost.9 (356361)</t>
        </is>
      </c>
      <c r="B7" s="8" t="n">
        <v>2</v>
      </c>
      <c r="C7" s="6" t="n">
        <v>0.3728</v>
      </c>
      <c r="D7" s="4">
        <f>B7*C7</f>
        <v/>
      </c>
      <c r="E7" s="5" t="inlineStr">
        <is>
          <t>netto 2025</t>
        </is>
      </c>
    </row>
    <row r="8">
      <c r="A8" s="5" t="inlineStr">
        <is>
          <t>Scontro nottolino (355866) — NON a listino</t>
        </is>
      </c>
      <c r="B8" s="8" t="n">
        <v>4</v>
      </c>
      <c r="C8" s="6" t="n">
        <v>0</v>
      </c>
      <c r="D8" s="4">
        <f>B8*C8</f>
        <v/>
      </c>
      <c r="E8" s="5" t="inlineStr">
        <is>
          <t>da inserire</t>
        </is>
      </c>
    </row>
    <row r="9">
      <c r="A9" s="5" t="inlineStr">
        <is>
          <t>Cerniere a vista (set anta) — DA INSERIRE</t>
        </is>
      </c>
      <c r="B9" s="8" t="n">
        <v>1</v>
      </c>
      <c r="C9" s="6" t="n">
        <v>0</v>
      </c>
      <c r="D9" s="4">
        <f>B9*C9</f>
        <v/>
      </c>
      <c r="E9" s="5" t="inlineStr">
        <is>
          <t>da inserire</t>
        </is>
      </c>
    </row>
    <row r="10">
      <c r="A10" s="5" t="inlineStr">
        <is>
          <t>Forbice a vista + braccio — DA INSERIRE</t>
        </is>
      </c>
      <c r="B10" s="8" t="n">
        <v>1</v>
      </c>
      <c r="C10" s="6" t="n">
        <v>0</v>
      </c>
      <c r="D10" s="4">
        <f>B10*C10</f>
        <v/>
      </c>
      <c r="E10" s="5" t="inlineStr">
        <is>
          <t>da inserire</t>
        </is>
      </c>
    </row>
    <row r="11">
      <c r="A11" s="5" t="inlineStr">
        <is>
          <t>Asta a leva MM anta semifissa (221911)</t>
        </is>
      </c>
      <c r="B11" s="8" t="n">
        <v>1</v>
      </c>
      <c r="C11" s="6" t="n">
        <v>4.46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Movimento angolare prolungabile (222205)</t>
        </is>
      </c>
      <c r="B12" s="8" t="n">
        <v>1</v>
      </c>
      <c r="C12" s="6" t="n">
        <v>1.27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Scontri anta semifissa — DA INSERIRE</t>
        </is>
      </c>
      <c r="B13" s="8" t="n">
        <v>1</v>
      </c>
      <c r="C13" s="6" t="n">
        <v>0</v>
      </c>
      <c r="D13" s="4">
        <f>B13*C13</f>
        <v/>
      </c>
      <c r="E13" s="5" t="inlineStr">
        <is>
          <t>da inserire</t>
        </is>
      </c>
    </row>
    <row r="14">
      <c r="A14" s="9" t="inlineStr">
        <is>
          <t>TOTALE FERRAMENTA</t>
        </is>
      </c>
      <c r="D14" s="10">
        <f>SUM(D2:D13)</f>
        <v/>
      </c>
    </row>
    <row r="16">
      <c r="A16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2026-09-14T07:38:21Z</dcterms:created>
  <dcterms:modified xsi:type="dcterms:W3CDTF">2026-09-14T07:38:21Z</dcterms:modified>
</cp:coreProperties>
</file>