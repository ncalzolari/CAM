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zzo" sheetId="1" state="visible" r:id="rId3"/>
    <sheet name="Parametri" sheetId="2" state="visible" r:id="rId4"/>
    <sheet name="Coefficienti" sheetId="3" state="visible" r:id="rId5"/>
    <sheet name="Ferramenta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<sst xmlns="http://schemas.openxmlformats.org/spreadsheetml/2006/main" count="44" uniqueCount="43">
  <si>
    <t xml:space="preserve">LISTINO — FINESTRA 2 ANTE (2A75) — C75S SENZA VETRO — RAL 7016 (costo +213%)</t>
  </si>
  <si>
    <t xml:space="preserve">H/L</t>
  </si>
  <si>
    <t xml:space="preserve">COSTO SERRAMENTO (materiale scontato + sfrido + manodopera)</t>
  </si>
  <si>
    <t xml:space="preserve">Prezzo profili €/kg (10820 CAT.B +ADD — RAL 7016)</t>
  </si>
  <si>
    <t xml:space="preserve">Sconto profili su listino AluK</t>
  </si>
  <si>
    <t xml:space="preserve">Sconto accessori/guarnizioni su listino AluK</t>
  </si>
  <si>
    <t xml:space="preserve">Sfrido</t>
  </si>
  <si>
    <t xml:space="preserve">Tariffa oraria manodopera €/h</t>
  </si>
  <si>
    <t xml:space="preserve">Ricarico su costo totale</t>
  </si>
  <si>
    <t xml:space="preserve">Celle gialle = valori modificabili: tutte le griglie si ricalcolano.</t>
  </si>
  <si>
    <t xml:space="preserve">Listino AluK decorrenza 15-06-2026. Ferramenta: prezzi nel foglio dedicato.</t>
  </si>
  <si>
    <t xml:space="preserve">Peso alluminio costante (kg)</t>
  </si>
  <si>
    <t xml:space="preserve">Peso per mm di L (kg/mm)</t>
  </si>
  <si>
    <t xml:space="preserve">Peso per mm di H (kg/mm)</t>
  </si>
  <si>
    <t xml:space="preserve">Guarnizioni costante (€ listino)</t>
  </si>
  <si>
    <t xml:space="preserve">Guarnizioni per mm di L (€/mm)</t>
  </si>
  <si>
    <t xml:space="preserve">Guarnizioni per mm di H (€/mm)</t>
  </si>
  <si>
    <t xml:space="preserve">Accessori totale (€ listino)</t>
  </si>
  <si>
    <t xml:space="preserve">Ore manodopera</t>
  </si>
  <si>
    <t xml:space="preserve">Derivati dalle distinte catalogo AluK C75S sez. 8 e pesi kg/m catalogo v3.</t>
  </si>
  <si>
    <t xml:space="preserve">Assunzioni: supporti vetro V62008 = 4 per vetro; mascherine V51015 = 2 pz;</t>
  </si>
  <si>
    <t xml:space="preserve">fermavetro battenti N45860 (0,37 kg/m), fisso coppia N45856 (0,62 kg/m);</t>
  </si>
  <si>
    <t xml:space="preserve">squadrette V40022/V40037 prezzate come V40022 (0,607 €).</t>
  </si>
  <si>
    <t xml:space="preserve">Manodopera: 1h telaio + 1h/anta + 20' ferramenta/anta + 20'/vetro.</t>
  </si>
  <si>
    <t xml:space="preserve">Prezzi unitari accessori e guarnizioni dal listino AluK 15-06-2026 (pre-sconto).</t>
  </si>
  <si>
    <t xml:space="preserve">Componente</t>
  </si>
  <si>
    <t xml:space="preserve">Q.tà</t>
  </si>
  <si>
    <t xml:space="preserve">Prezzo €/pz</t>
  </si>
  <si>
    <t xml:space="preserve">Subtotale €</t>
  </si>
  <si>
    <t xml:space="preserve">Martellina DK 1033</t>
  </si>
  <si>
    <t xml:space="preserve">Cremonese Multi Matic GR1590 (201745)</t>
  </si>
  <si>
    <t xml:space="preserve">Chiusura centrale MM (201752)</t>
  </si>
  <si>
    <t xml:space="preserve">Movimento angolare MM (222201)</t>
  </si>
  <si>
    <t xml:space="preserve">Movimento angolare prolungabile (222209)</t>
  </si>
  <si>
    <t xml:space="preserve">Scontro fungo scost.9 (356361)</t>
  </si>
  <si>
    <t xml:space="preserve">Scontro nottolino (355866) — NON a listino</t>
  </si>
  <si>
    <t xml:space="preserve">Cerniere a vista (set anta) — DA INSERIRE</t>
  </si>
  <si>
    <t xml:space="preserve">Forbice a vista + braccio — DA INSERIRE</t>
  </si>
  <si>
    <t xml:space="preserve">Asta a leva MM anta semifissa (221911)</t>
  </si>
  <si>
    <t xml:space="preserve">Movimento angolare prolungabile (222205)</t>
  </si>
  <si>
    <t xml:space="preserve">Scontri anta semifissa — DA INSERIRE</t>
  </si>
  <si>
    <t xml:space="preserve">TOTALE FERRAMENTA</t>
  </si>
  <si>
    <t xml:space="preserve">Celle gialle modificabili. Prezzi a 0 = da inserire: il listino li ignora finché vuoti.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</si>
</sst>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14" min="2" style="0" width="9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 customFormat="false" ht="15" hidden="false" customHeight="false" outlineLevel="0" collapsed="false">
      <c r="A3" s="2" t="n">
        <v>500</v>
      </c>
      <c r="B3" s="4" t="n">
        <f aca="false">ROUND(ROUND(((Coefficienti!$B$1+Coefficienti!$B$2*B$2+Coefficienti!$B$3*$A3)*Parametri!$B$1*(1-Parametri!$B$2)+((Coefficienti!$B$4+Coefficienti!$B$5*B$2+Coefficienti!$B$6*$A3)+Coefficienti!$B$7)*(1-Parametri!$B$3))*(1+Parametri!$B$4)+Ferramenta!$D$14+Coefficienti!$B$8*Parametri!$B$5,2)*(1+Parametri!$B$6),2)</f>
        <v>1388.97</v>
      </c>
      <c r="C3" s="4" t="n">
        <f aca="false">ROUND(ROUND(((Coefficienti!$B$1+Coefficienti!$B$2*C$2+Coefficienti!$B$3*$A3)*Parametri!$B$1*(1-Parametri!$B$2)+((Coefficienti!$B$4+Coefficienti!$B$5*C$2+Coefficienti!$B$6*$A3)+Coefficienti!$B$7)*(1-Parametri!$B$3))*(1+Parametri!$B$4)+Ferramenta!$D$14+Coefficienti!$B$8*Parametri!$B$5,2)*(1+Parametri!$B$6),2)</f>
        <v>1409</v>
      </c>
      <c r="D3" s="4" t="n">
        <f aca="false">ROUND(ROUND(((Coefficienti!$B$1+Coefficienti!$B$2*D$2+Coefficienti!$B$3*$A3)*Parametri!$B$1*(1-Parametri!$B$2)+((Coefficienti!$B$4+Coefficienti!$B$5*D$2+Coefficienti!$B$6*$A3)+Coefficienti!$B$7)*(1-Parametri!$B$3))*(1+Parametri!$B$4)+Ferramenta!$D$14+Coefficienti!$B$8*Parametri!$B$5,2)*(1+Parametri!$B$6),2)</f>
        <v>1429.06</v>
      </c>
      <c r="E3" s="4" t="n">
        <f aca="false">ROUND(ROUND(((Coefficienti!$B$1+Coefficienti!$B$2*E$2+Coefficienti!$B$3*$A3)*Parametri!$B$1*(1-Parametri!$B$2)+((Coefficienti!$B$4+Coefficienti!$B$5*E$2+Coefficienti!$B$6*$A3)+Coefficienti!$B$7)*(1-Parametri!$B$3))*(1+Parametri!$B$4)+Ferramenta!$D$14+Coefficienti!$B$8*Parametri!$B$5,2)*(1+Parametri!$B$6),2)</f>
        <v>1449.1</v>
      </c>
      <c r="F3" s="4" t="n">
        <f aca="false">ROUND(ROUND(((Coefficienti!$B$1+Coefficienti!$B$2*F$2+Coefficienti!$B$3*$A3)*Parametri!$B$1*(1-Parametri!$B$2)+((Coefficienti!$B$4+Coefficienti!$B$5*F$2+Coefficienti!$B$6*$A3)+Coefficienti!$B$7)*(1-Parametri!$B$3))*(1+Parametri!$B$4)+Ferramenta!$D$14+Coefficienti!$B$8*Parametri!$B$5,2)*(1+Parametri!$B$6),2)</f>
        <v>1469.13</v>
      </c>
      <c r="G3" s="4" t="n">
        <f aca="false">ROUND(ROUND(((Coefficienti!$B$1+Coefficienti!$B$2*G$2+Coefficienti!$B$3*$A3)*Parametri!$B$1*(1-Parametri!$B$2)+((Coefficienti!$B$4+Coefficienti!$B$5*G$2+Coefficienti!$B$6*$A3)+Coefficienti!$B$7)*(1-Parametri!$B$3))*(1+Parametri!$B$4)+Ferramenta!$D$14+Coefficienti!$B$8*Parametri!$B$5,2)*(1+Parametri!$B$6),2)</f>
        <v>1489.16</v>
      </c>
      <c r="H3" s="4" t="n">
        <f aca="false">ROUND(ROUND(((Coefficienti!$B$1+Coefficienti!$B$2*H$2+Coefficienti!$B$3*$A3)*Parametri!$B$1*(1-Parametri!$B$2)+((Coefficienti!$B$4+Coefficienti!$B$5*H$2+Coefficienti!$B$6*$A3)+Coefficienti!$B$7)*(1-Parametri!$B$3))*(1+Parametri!$B$4)+Ferramenta!$D$14+Coefficienti!$B$8*Parametri!$B$5,2)*(1+Parametri!$B$6),2)</f>
        <v>1509.19</v>
      </c>
      <c r="I3" s="4" t="n">
        <f aca="false">ROUND(ROUND(((Coefficienti!$B$1+Coefficienti!$B$2*I$2+Coefficienti!$B$3*$A3)*Parametri!$B$1*(1-Parametri!$B$2)+((Coefficienti!$B$4+Coefficienti!$B$5*I$2+Coefficienti!$B$6*$A3)+Coefficienti!$B$7)*(1-Parametri!$B$3))*(1+Parametri!$B$4)+Ferramenta!$D$14+Coefficienti!$B$8*Parametri!$B$5,2)*(1+Parametri!$B$6),2)</f>
        <v>1529.22</v>
      </c>
      <c r="J3" s="4" t="n">
        <f aca="false">ROUND(ROUND(((Coefficienti!$B$1+Coefficienti!$B$2*J$2+Coefficienti!$B$3*$A3)*Parametri!$B$1*(1-Parametri!$B$2)+((Coefficienti!$B$4+Coefficienti!$B$5*J$2+Coefficienti!$B$6*$A3)+Coefficienti!$B$7)*(1-Parametri!$B$3))*(1+Parametri!$B$4)+Ferramenta!$D$14+Coefficienti!$B$8*Parametri!$B$5,2)*(1+Parametri!$B$6),2)</f>
        <v>1549.26</v>
      </c>
      <c r="K3" s="4" t="n">
        <f aca="false">ROUND(ROUND(((Coefficienti!$B$1+Coefficienti!$B$2*K$2+Coefficienti!$B$3*$A3)*Parametri!$B$1*(1-Parametri!$B$2)+((Coefficienti!$B$4+Coefficienti!$B$5*K$2+Coefficienti!$B$6*$A3)+Coefficienti!$B$7)*(1-Parametri!$B$3))*(1+Parametri!$B$4)+Ferramenta!$D$14+Coefficienti!$B$8*Parametri!$B$5,2)*(1+Parametri!$B$6),2)</f>
        <v>1569.32</v>
      </c>
      <c r="L3" s="4" t="n">
        <f aca="false">ROUND(ROUND(((Coefficienti!$B$1+Coefficienti!$B$2*L$2+Coefficienti!$B$3*$A3)*Parametri!$B$1*(1-Parametri!$B$2)+((Coefficienti!$B$4+Coefficienti!$B$5*L$2+Coefficienti!$B$6*$A3)+Coefficienti!$B$7)*(1-Parametri!$B$3))*(1+Parametri!$B$4)+Ferramenta!$D$14+Coefficienti!$B$8*Parametri!$B$5,2)*(1+Parametri!$B$6),2)</f>
        <v>1589.35</v>
      </c>
      <c r="M3" s="4" t="n">
        <f aca="false">ROUND(ROUND(((Coefficienti!$B$1+Coefficienti!$B$2*M$2+Coefficienti!$B$3*$A3)*Parametri!$B$1*(1-Parametri!$B$2)+((Coefficienti!$B$4+Coefficienti!$B$5*M$2+Coefficienti!$B$6*$A3)+Coefficienti!$B$7)*(1-Parametri!$B$3))*(1+Parametri!$B$4)+Ferramenta!$D$14+Coefficienti!$B$8*Parametri!$B$5,2)*(1+Parametri!$B$6),2)</f>
        <v>1609.38</v>
      </c>
      <c r="N3" s="4" t="n">
        <f aca="false">ROUND(ROUND(((Coefficienti!$B$1+Coefficienti!$B$2*N$2+Coefficienti!$B$3*$A3)*Parametri!$B$1*(1-Parametri!$B$2)+((Coefficienti!$B$4+Coefficienti!$B$5*N$2+Coefficienti!$B$6*$A3)+Coefficienti!$B$7)*(1-Parametri!$B$3))*(1+Parametri!$B$4)+Ferramenta!$D$14+Coefficienti!$B$8*Parametri!$B$5,2)*(1+Parametri!$B$6),2)</f>
        <v>1629.42</v>
      </c>
    </row>
    <row r="4" customFormat="false" ht="15" hidden="false" customHeight="false" outlineLevel="0" collapsed="false">
      <c r="A4" s="2" t="n">
        <v>600</v>
      </c>
      <c r="B4" s="4" t="n">
        <f aca="false">ROUND(ROUND(((Coefficienti!$B$1+Coefficienti!$B$2*B$2+Coefficienti!$B$3*$A4)*Parametri!$B$1*(1-Parametri!$B$2)+((Coefficienti!$B$4+Coefficienti!$B$5*B$2+Coefficienti!$B$6*$A4)+Coefficienti!$B$7)*(1-Parametri!$B$3))*(1+Parametri!$B$4)+Ferramenta!$D$14+Coefficienti!$B$8*Parametri!$B$5,2)*(1+Parametri!$B$6),2)</f>
        <v>1421.18</v>
      </c>
      <c r="C4" s="4" t="n">
        <f aca="false">ROUND(ROUND(((Coefficienti!$B$1+Coefficienti!$B$2*C$2+Coefficienti!$B$3*$A4)*Parametri!$B$1*(1-Parametri!$B$2)+((Coefficienti!$B$4+Coefficienti!$B$5*C$2+Coefficienti!$B$6*$A4)+Coefficienti!$B$7)*(1-Parametri!$B$3))*(1+Parametri!$B$4)+Ferramenta!$D$14+Coefficienti!$B$8*Parametri!$B$5,2)*(1+Parametri!$B$6),2)</f>
        <v>1441.21</v>
      </c>
      <c r="D4" s="4" t="n">
        <f aca="false">ROUND(ROUND(((Coefficienti!$B$1+Coefficienti!$B$2*D$2+Coefficienti!$B$3*$A4)*Parametri!$B$1*(1-Parametri!$B$2)+((Coefficienti!$B$4+Coefficienti!$B$5*D$2+Coefficienti!$B$6*$A4)+Coefficienti!$B$7)*(1-Parametri!$B$3))*(1+Parametri!$B$4)+Ferramenta!$D$14+Coefficienti!$B$8*Parametri!$B$5,2)*(1+Parametri!$B$6),2)</f>
        <v>1461.24</v>
      </c>
      <c r="E4" s="4" t="n">
        <f aca="false">ROUND(ROUND(((Coefficienti!$B$1+Coefficienti!$B$2*E$2+Coefficienti!$B$3*$A4)*Parametri!$B$1*(1-Parametri!$B$2)+((Coefficienti!$B$4+Coefficienti!$B$5*E$2+Coefficienti!$B$6*$A4)+Coefficienti!$B$7)*(1-Parametri!$B$3))*(1+Parametri!$B$4)+Ferramenta!$D$14+Coefficienti!$B$8*Parametri!$B$5,2)*(1+Parametri!$B$6),2)</f>
        <v>1481.27</v>
      </c>
      <c r="F4" s="4" t="n">
        <f aca="false">ROUND(ROUND(((Coefficienti!$B$1+Coefficienti!$B$2*F$2+Coefficienti!$B$3*$A4)*Parametri!$B$1*(1-Parametri!$B$2)+((Coefficienti!$B$4+Coefficienti!$B$5*F$2+Coefficienti!$B$6*$A4)+Coefficienti!$B$7)*(1-Parametri!$B$3))*(1+Parametri!$B$4)+Ferramenta!$D$14+Coefficienti!$B$8*Parametri!$B$5,2)*(1+Parametri!$B$6),2)</f>
        <v>1501.3</v>
      </c>
      <c r="G4" s="4" t="n">
        <f aca="false">ROUND(ROUND(((Coefficienti!$B$1+Coefficienti!$B$2*G$2+Coefficienti!$B$3*$A4)*Parametri!$B$1*(1-Parametri!$B$2)+((Coefficienti!$B$4+Coefficienti!$B$5*G$2+Coefficienti!$B$6*$A4)+Coefficienti!$B$7)*(1-Parametri!$B$3))*(1+Parametri!$B$4)+Ferramenta!$D$14+Coefficienti!$B$8*Parametri!$B$5,2)*(1+Parametri!$B$6),2)</f>
        <v>1521.34</v>
      </c>
      <c r="H4" s="4" t="n">
        <f aca="false">ROUND(ROUND(((Coefficienti!$B$1+Coefficienti!$B$2*H$2+Coefficienti!$B$3*$A4)*Parametri!$B$1*(1-Parametri!$B$2)+((Coefficienti!$B$4+Coefficienti!$B$5*H$2+Coefficienti!$B$6*$A4)+Coefficienti!$B$7)*(1-Parametri!$B$3))*(1+Parametri!$B$4)+Ferramenta!$D$14+Coefficienti!$B$8*Parametri!$B$5,2)*(1+Parametri!$B$6),2)</f>
        <v>1541.4</v>
      </c>
      <c r="I4" s="4" t="n">
        <f aca="false">ROUND(ROUND(((Coefficienti!$B$1+Coefficienti!$B$2*I$2+Coefficienti!$B$3*$A4)*Parametri!$B$1*(1-Parametri!$B$2)+((Coefficienti!$B$4+Coefficienti!$B$5*I$2+Coefficienti!$B$6*$A4)+Coefficienti!$B$7)*(1-Parametri!$B$3))*(1+Parametri!$B$4)+Ferramenta!$D$14+Coefficienti!$B$8*Parametri!$B$5,2)*(1+Parametri!$B$6),2)</f>
        <v>1561.43</v>
      </c>
      <c r="J4" s="4" t="n">
        <f aca="false">ROUND(ROUND(((Coefficienti!$B$1+Coefficienti!$B$2*J$2+Coefficienti!$B$3*$A4)*Parametri!$B$1*(1-Parametri!$B$2)+((Coefficienti!$B$4+Coefficienti!$B$5*J$2+Coefficienti!$B$6*$A4)+Coefficienti!$B$7)*(1-Parametri!$B$3))*(1+Parametri!$B$4)+Ferramenta!$D$14+Coefficienti!$B$8*Parametri!$B$5,2)*(1+Parametri!$B$6),2)</f>
        <v>1581.46</v>
      </c>
      <c r="K4" s="4" t="n">
        <f aca="false">ROUND(ROUND(((Coefficienti!$B$1+Coefficienti!$B$2*K$2+Coefficienti!$B$3*$A4)*Parametri!$B$1*(1-Parametri!$B$2)+((Coefficienti!$B$4+Coefficienti!$B$5*K$2+Coefficienti!$B$6*$A4)+Coefficienti!$B$7)*(1-Parametri!$B$3))*(1+Parametri!$B$4)+Ferramenta!$D$14+Coefficienti!$B$8*Parametri!$B$5,2)*(1+Parametri!$B$6),2)</f>
        <v>1601.5</v>
      </c>
      <c r="L4" s="4" t="n">
        <f aca="false">ROUND(ROUND(((Coefficienti!$B$1+Coefficienti!$B$2*L$2+Coefficienti!$B$3*$A4)*Parametri!$B$1*(1-Parametri!$B$2)+((Coefficienti!$B$4+Coefficienti!$B$5*L$2+Coefficienti!$B$6*$A4)+Coefficienti!$B$7)*(1-Parametri!$B$3))*(1+Parametri!$B$4)+Ferramenta!$D$14+Coefficienti!$B$8*Parametri!$B$5,2)*(1+Parametri!$B$6),2)</f>
        <v>1621.53</v>
      </c>
      <c r="M4" s="4" t="n">
        <f aca="false">ROUND(ROUND(((Coefficienti!$B$1+Coefficienti!$B$2*M$2+Coefficienti!$B$3*$A4)*Parametri!$B$1*(1-Parametri!$B$2)+((Coefficienti!$B$4+Coefficienti!$B$5*M$2+Coefficienti!$B$6*$A4)+Coefficienti!$B$7)*(1-Parametri!$B$3))*(1+Parametri!$B$4)+Ferramenta!$D$14+Coefficienti!$B$8*Parametri!$B$5,2)*(1+Parametri!$B$6),2)</f>
        <v>1641.56</v>
      </c>
      <c r="N4" s="4" t="n">
        <f aca="false">ROUND(ROUND(((Coefficienti!$B$1+Coefficienti!$B$2*N$2+Coefficienti!$B$3*$A4)*Parametri!$B$1*(1-Parametri!$B$2)+((Coefficienti!$B$4+Coefficienti!$B$5*N$2+Coefficienti!$B$6*$A4)+Coefficienti!$B$7)*(1-Parametri!$B$3))*(1+Parametri!$B$4)+Ferramenta!$D$14+Coefficienti!$B$8*Parametri!$B$5,2)*(1+Parametri!$B$6),2)</f>
        <v>1661.59</v>
      </c>
    </row>
    <row r="5" customFormat="false" ht="15" hidden="false" customHeight="false" outlineLevel="0" collapsed="false">
      <c r="A5" s="2" t="n">
        <v>700</v>
      </c>
      <c r="B5" s="4" t="n">
        <f aca="false">ROUND(ROUND(((Coefficienti!$B$1+Coefficienti!$B$2*B$2+Coefficienti!$B$3*$A5)*Parametri!$B$1*(1-Parametri!$B$2)+((Coefficienti!$B$4+Coefficienti!$B$5*B$2+Coefficienti!$B$6*$A5)+Coefficienti!$B$7)*(1-Parametri!$B$3))*(1+Parametri!$B$4)+Ferramenta!$D$14+Coefficienti!$B$8*Parametri!$B$5,2)*(1+Parametri!$B$6),2)</f>
        <v>1453.35</v>
      </c>
      <c r="C5" s="4" t="n">
        <f aca="false">ROUND(ROUND(((Coefficienti!$B$1+Coefficienti!$B$2*C$2+Coefficienti!$B$3*$A5)*Parametri!$B$1*(1-Parametri!$B$2)+((Coefficienti!$B$4+Coefficienti!$B$5*C$2+Coefficienti!$B$6*$A5)+Coefficienti!$B$7)*(1-Parametri!$B$3))*(1+Parametri!$B$4)+Ferramenta!$D$14+Coefficienti!$B$8*Parametri!$B$5,2)*(1+Parametri!$B$6),2)</f>
        <v>1473.38</v>
      </c>
      <c r="D5" s="4" t="n">
        <f aca="false">ROUND(ROUND(((Coefficienti!$B$1+Coefficienti!$B$2*D$2+Coefficienti!$B$3*$A5)*Parametri!$B$1*(1-Parametri!$B$2)+((Coefficienti!$B$4+Coefficienti!$B$5*D$2+Coefficienti!$B$6*$A5)+Coefficienti!$B$7)*(1-Parametri!$B$3))*(1+Parametri!$B$4)+Ferramenta!$D$14+Coefficienti!$B$8*Parametri!$B$5,2)*(1+Parametri!$B$6),2)</f>
        <v>1493.42</v>
      </c>
      <c r="E5" s="4" t="n">
        <f aca="false">ROUND(ROUND(((Coefficienti!$B$1+Coefficienti!$B$2*E$2+Coefficienti!$B$3*$A5)*Parametri!$B$1*(1-Parametri!$B$2)+((Coefficienti!$B$4+Coefficienti!$B$5*E$2+Coefficienti!$B$6*$A5)+Coefficienti!$B$7)*(1-Parametri!$B$3))*(1+Parametri!$B$4)+Ferramenta!$D$14+Coefficienti!$B$8*Parametri!$B$5,2)*(1+Parametri!$B$6),2)</f>
        <v>1513.45</v>
      </c>
      <c r="F5" s="4" t="n">
        <f aca="false">ROUND(ROUND(((Coefficienti!$B$1+Coefficienti!$B$2*F$2+Coefficienti!$B$3*$A5)*Parametri!$B$1*(1-Parametri!$B$2)+((Coefficienti!$B$4+Coefficienti!$B$5*F$2+Coefficienti!$B$6*$A5)+Coefficienti!$B$7)*(1-Parametri!$B$3))*(1+Parametri!$B$4)+Ferramenta!$D$14+Coefficienti!$B$8*Parametri!$B$5,2)*(1+Parametri!$B$6),2)</f>
        <v>1533.51</v>
      </c>
      <c r="G5" s="4" t="n">
        <f aca="false">ROUND(ROUND(((Coefficienti!$B$1+Coefficienti!$B$2*G$2+Coefficienti!$B$3*$A5)*Parametri!$B$1*(1-Parametri!$B$2)+((Coefficienti!$B$4+Coefficienti!$B$5*G$2+Coefficienti!$B$6*$A5)+Coefficienti!$B$7)*(1-Parametri!$B$3))*(1+Parametri!$B$4)+Ferramenta!$D$14+Coefficienti!$B$8*Parametri!$B$5,2)*(1+Parametri!$B$6),2)</f>
        <v>1553.54</v>
      </c>
      <c r="H5" s="4" t="n">
        <f aca="false">ROUND(ROUND(((Coefficienti!$B$1+Coefficienti!$B$2*H$2+Coefficienti!$B$3*$A5)*Parametri!$B$1*(1-Parametri!$B$2)+((Coefficienti!$B$4+Coefficienti!$B$5*H$2+Coefficienti!$B$6*$A5)+Coefficienti!$B$7)*(1-Parametri!$B$3))*(1+Parametri!$B$4)+Ferramenta!$D$14+Coefficienti!$B$8*Parametri!$B$5,2)*(1+Parametri!$B$6),2)</f>
        <v>1573.58</v>
      </c>
      <c r="I5" s="4" t="n">
        <f aca="false">ROUND(ROUND(((Coefficienti!$B$1+Coefficienti!$B$2*I$2+Coefficienti!$B$3*$A5)*Parametri!$B$1*(1-Parametri!$B$2)+((Coefficienti!$B$4+Coefficienti!$B$5*I$2+Coefficienti!$B$6*$A5)+Coefficienti!$B$7)*(1-Parametri!$B$3))*(1+Parametri!$B$4)+Ferramenta!$D$14+Coefficienti!$B$8*Parametri!$B$5,2)*(1+Parametri!$B$6),2)</f>
        <v>1593.61</v>
      </c>
      <c r="J5" s="4" t="n">
        <f aca="false">ROUND(ROUND(((Coefficienti!$B$1+Coefficienti!$B$2*J$2+Coefficienti!$B$3*$A5)*Parametri!$B$1*(1-Parametri!$B$2)+((Coefficienti!$B$4+Coefficienti!$B$5*J$2+Coefficienti!$B$6*$A5)+Coefficienti!$B$7)*(1-Parametri!$B$3))*(1+Parametri!$B$4)+Ferramenta!$D$14+Coefficienti!$B$8*Parametri!$B$5,2)*(1+Parametri!$B$6),2)</f>
        <v>1613.64</v>
      </c>
      <c r="K5" s="4" t="n">
        <f aca="false">ROUND(ROUND(((Coefficienti!$B$1+Coefficienti!$B$2*K$2+Coefficienti!$B$3*$A5)*Parametri!$B$1*(1-Parametri!$B$2)+((Coefficienti!$B$4+Coefficienti!$B$5*K$2+Coefficienti!$B$6*$A5)+Coefficienti!$B$7)*(1-Parametri!$B$3))*(1+Parametri!$B$4)+Ferramenta!$D$14+Coefficienti!$B$8*Parametri!$B$5,2)*(1+Parametri!$B$6),2)</f>
        <v>1633.67</v>
      </c>
      <c r="L5" s="4" t="n">
        <f aca="false">ROUND(ROUND(((Coefficienti!$B$1+Coefficienti!$B$2*L$2+Coefficienti!$B$3*$A5)*Parametri!$B$1*(1-Parametri!$B$2)+((Coefficienti!$B$4+Coefficienti!$B$5*L$2+Coefficienti!$B$6*$A5)+Coefficienti!$B$7)*(1-Parametri!$B$3))*(1+Parametri!$B$4)+Ferramenta!$D$14+Coefficienti!$B$8*Parametri!$B$5,2)*(1+Parametri!$B$6),2)</f>
        <v>1653.7</v>
      </c>
      <c r="M5" s="4" t="n">
        <f aca="false">ROUND(ROUND(((Coefficienti!$B$1+Coefficienti!$B$2*M$2+Coefficienti!$B$3*$A5)*Parametri!$B$1*(1-Parametri!$B$2)+((Coefficienti!$B$4+Coefficienti!$B$5*M$2+Coefficienti!$B$6*$A5)+Coefficienti!$B$7)*(1-Parametri!$B$3))*(1+Parametri!$B$4)+Ferramenta!$D$14+Coefficienti!$B$8*Parametri!$B$5,2)*(1+Parametri!$B$6),2)</f>
        <v>1673.77</v>
      </c>
      <c r="N5" s="4" t="n">
        <f aca="false">ROUND(ROUND(((Coefficienti!$B$1+Coefficienti!$B$2*N$2+Coefficienti!$B$3*$A5)*Parametri!$B$1*(1-Parametri!$B$2)+((Coefficienti!$B$4+Coefficienti!$B$5*N$2+Coefficienti!$B$6*$A5)+Coefficienti!$B$7)*(1-Parametri!$B$3))*(1+Parametri!$B$4)+Ferramenta!$D$14+Coefficienti!$B$8*Parametri!$B$5,2)*(1+Parametri!$B$6),2)</f>
        <v>1693.8</v>
      </c>
    </row>
    <row r="6" customFormat="false" ht="15" hidden="false" customHeight="false" outlineLevel="0" collapsed="false">
      <c r="A6" s="2" t="n">
        <v>800</v>
      </c>
      <c r="B6" s="4" t="n">
        <f aca="false">ROUND(ROUND(((Coefficienti!$B$1+Coefficienti!$B$2*B$2+Coefficienti!$B$3*$A6)*Parametri!$B$1*(1-Parametri!$B$2)+((Coefficienti!$B$4+Coefficienti!$B$5*B$2+Coefficienti!$B$6*$A6)+Coefficienti!$B$7)*(1-Parametri!$B$3))*(1+Parametri!$B$4)+Ferramenta!$D$14+Coefficienti!$B$8*Parametri!$B$5,2)*(1+Parametri!$B$6),2)</f>
        <v>1485.53</v>
      </c>
      <c r="C6" s="4" t="n">
        <f aca="false">ROUND(ROUND(((Coefficienti!$B$1+Coefficienti!$B$2*C$2+Coefficienti!$B$3*$A6)*Parametri!$B$1*(1-Parametri!$B$2)+((Coefficienti!$B$4+Coefficienti!$B$5*C$2+Coefficienti!$B$6*$A6)+Coefficienti!$B$7)*(1-Parametri!$B$3))*(1+Parametri!$B$4)+Ferramenta!$D$14+Coefficienti!$B$8*Parametri!$B$5,2)*(1+Parametri!$B$6),2)</f>
        <v>1505.59</v>
      </c>
      <c r="D6" s="4" t="n">
        <f aca="false">ROUND(ROUND(((Coefficienti!$B$1+Coefficienti!$B$2*D$2+Coefficienti!$B$3*$A6)*Parametri!$B$1*(1-Parametri!$B$2)+((Coefficienti!$B$4+Coefficienti!$B$5*D$2+Coefficienti!$B$6*$A6)+Coefficienti!$B$7)*(1-Parametri!$B$3))*(1+Parametri!$B$4)+Ferramenta!$D$14+Coefficienti!$B$8*Parametri!$B$5,2)*(1+Parametri!$B$6),2)</f>
        <v>1525.62</v>
      </c>
      <c r="E6" s="4" t="n">
        <f aca="false">ROUND(ROUND(((Coefficienti!$B$1+Coefficienti!$B$2*E$2+Coefficienti!$B$3*$A6)*Parametri!$B$1*(1-Parametri!$B$2)+((Coefficienti!$B$4+Coefficienti!$B$5*E$2+Coefficienti!$B$6*$A6)+Coefficienti!$B$7)*(1-Parametri!$B$3))*(1+Parametri!$B$4)+Ferramenta!$D$14+Coefficienti!$B$8*Parametri!$B$5,2)*(1+Parametri!$B$6),2)</f>
        <v>1545.66</v>
      </c>
      <c r="F6" s="4" t="n">
        <f aca="false">ROUND(ROUND(((Coefficienti!$B$1+Coefficienti!$B$2*F$2+Coefficienti!$B$3*$A6)*Parametri!$B$1*(1-Parametri!$B$2)+((Coefficienti!$B$4+Coefficienti!$B$5*F$2+Coefficienti!$B$6*$A6)+Coefficienti!$B$7)*(1-Parametri!$B$3))*(1+Parametri!$B$4)+Ferramenta!$D$14+Coefficienti!$B$8*Parametri!$B$5,2)*(1+Parametri!$B$6),2)</f>
        <v>1565.69</v>
      </c>
      <c r="G6" s="4" t="n">
        <f aca="false">ROUND(ROUND(((Coefficienti!$B$1+Coefficienti!$B$2*G$2+Coefficienti!$B$3*$A6)*Parametri!$B$1*(1-Parametri!$B$2)+((Coefficienti!$B$4+Coefficienti!$B$5*G$2+Coefficienti!$B$6*$A6)+Coefficienti!$B$7)*(1-Parametri!$B$3))*(1+Parametri!$B$4)+Ferramenta!$D$14+Coefficienti!$B$8*Parametri!$B$5,2)*(1+Parametri!$B$6),2)</f>
        <v>1585.72</v>
      </c>
      <c r="H6" s="4" t="n">
        <f aca="false">ROUND(ROUND(((Coefficienti!$B$1+Coefficienti!$B$2*H$2+Coefficienti!$B$3*$A6)*Parametri!$B$1*(1-Parametri!$B$2)+((Coefficienti!$B$4+Coefficienti!$B$5*H$2+Coefficienti!$B$6*$A6)+Coefficienti!$B$7)*(1-Parametri!$B$3))*(1+Parametri!$B$4)+Ferramenta!$D$14+Coefficienti!$B$8*Parametri!$B$5,2)*(1+Parametri!$B$6),2)</f>
        <v>1605.75</v>
      </c>
      <c r="I6" s="4" t="n">
        <f aca="false">ROUND(ROUND(((Coefficienti!$B$1+Coefficienti!$B$2*I$2+Coefficienti!$B$3*$A6)*Parametri!$B$1*(1-Parametri!$B$2)+((Coefficienti!$B$4+Coefficienti!$B$5*I$2+Coefficienti!$B$6*$A6)+Coefficienti!$B$7)*(1-Parametri!$B$3))*(1+Parametri!$B$4)+Ferramenta!$D$14+Coefficienti!$B$8*Parametri!$B$5,2)*(1+Parametri!$B$6),2)</f>
        <v>1625.78</v>
      </c>
      <c r="J6" s="4" t="n">
        <f aca="false">ROUND(ROUND(((Coefficienti!$B$1+Coefficienti!$B$2*J$2+Coefficienti!$B$3*$A6)*Parametri!$B$1*(1-Parametri!$B$2)+((Coefficienti!$B$4+Coefficienti!$B$5*J$2+Coefficienti!$B$6*$A6)+Coefficienti!$B$7)*(1-Parametri!$B$3))*(1+Parametri!$B$4)+Ferramenta!$D$14+Coefficienti!$B$8*Parametri!$B$5,2)*(1+Parametri!$B$6),2)</f>
        <v>1645.85</v>
      </c>
      <c r="K6" s="4" t="n">
        <f aca="false">ROUND(ROUND(((Coefficienti!$B$1+Coefficienti!$B$2*K$2+Coefficienti!$B$3*$A6)*Parametri!$B$1*(1-Parametri!$B$2)+((Coefficienti!$B$4+Coefficienti!$B$5*K$2+Coefficienti!$B$6*$A6)+Coefficienti!$B$7)*(1-Parametri!$B$3))*(1+Parametri!$B$4)+Ferramenta!$D$14+Coefficienti!$B$8*Parametri!$B$5,2)*(1+Parametri!$B$6),2)</f>
        <v>1665.88</v>
      </c>
      <c r="L6" s="4" t="n">
        <f aca="false">ROUND(ROUND(((Coefficienti!$B$1+Coefficienti!$B$2*L$2+Coefficienti!$B$3*$A6)*Parametri!$B$1*(1-Parametri!$B$2)+((Coefficienti!$B$4+Coefficienti!$B$5*L$2+Coefficienti!$B$6*$A6)+Coefficienti!$B$7)*(1-Parametri!$B$3))*(1+Parametri!$B$4)+Ferramenta!$D$14+Coefficienti!$B$8*Parametri!$B$5,2)*(1+Parametri!$B$6),2)</f>
        <v>1685.91</v>
      </c>
      <c r="M6" s="4" t="n">
        <f aca="false">ROUND(ROUND(((Coefficienti!$B$1+Coefficienti!$B$2*M$2+Coefficienti!$B$3*$A6)*Parametri!$B$1*(1-Parametri!$B$2)+((Coefficienti!$B$4+Coefficienti!$B$5*M$2+Coefficienti!$B$6*$A6)+Coefficienti!$B$7)*(1-Parametri!$B$3))*(1+Parametri!$B$4)+Ferramenta!$D$14+Coefficienti!$B$8*Parametri!$B$5,2)*(1+Parametri!$B$6),2)</f>
        <v>1705.94</v>
      </c>
      <c r="N6" s="4" t="n">
        <f aca="false">ROUND(ROUND(((Coefficienti!$B$1+Coefficienti!$B$2*N$2+Coefficienti!$B$3*$A6)*Parametri!$B$1*(1-Parametri!$B$2)+((Coefficienti!$B$4+Coefficienti!$B$5*N$2+Coefficienti!$B$6*$A6)+Coefficienti!$B$7)*(1-Parametri!$B$3))*(1+Parametri!$B$4)+Ferramenta!$D$14+Coefficienti!$B$8*Parametri!$B$5,2)*(1+Parametri!$B$6),2)</f>
        <v>1725.98</v>
      </c>
    </row>
    <row r="7" customFormat="false" ht="15" hidden="false" customHeight="false" outlineLevel="0" collapsed="false">
      <c r="A7" s="2" t="n">
        <v>900</v>
      </c>
      <c r="B7" s="4" t="n">
        <f aca="false">ROUND(ROUND(((Coefficienti!$B$1+Coefficienti!$B$2*B$2+Coefficienti!$B$3*$A7)*Parametri!$B$1*(1-Parametri!$B$2)+((Coefficienti!$B$4+Coefficienti!$B$5*B$2+Coefficienti!$B$6*$A7)+Coefficienti!$B$7)*(1-Parametri!$B$3))*(1+Parametri!$B$4)+Ferramenta!$D$14+Coefficienti!$B$8*Parametri!$B$5,2)*(1+Parametri!$B$6),2)</f>
        <v>1517.74</v>
      </c>
      <c r="C7" s="4" t="n">
        <f aca="false">ROUND(ROUND(((Coefficienti!$B$1+Coefficienti!$B$2*C$2+Coefficienti!$B$3*$A7)*Parametri!$B$1*(1-Parametri!$B$2)+((Coefficienti!$B$4+Coefficienti!$B$5*C$2+Coefficienti!$B$6*$A7)+Coefficienti!$B$7)*(1-Parametri!$B$3))*(1+Parametri!$B$4)+Ferramenta!$D$14+Coefficienti!$B$8*Parametri!$B$5,2)*(1+Parametri!$B$6),2)</f>
        <v>1537.77</v>
      </c>
      <c r="D7" s="4" t="n">
        <f aca="false">ROUND(ROUND(((Coefficienti!$B$1+Coefficienti!$B$2*D$2+Coefficienti!$B$3*$A7)*Parametri!$B$1*(1-Parametri!$B$2)+((Coefficienti!$B$4+Coefficienti!$B$5*D$2+Coefficienti!$B$6*$A7)+Coefficienti!$B$7)*(1-Parametri!$B$3))*(1+Parametri!$B$4)+Ferramenta!$D$14+Coefficienti!$B$8*Parametri!$B$5,2)*(1+Parametri!$B$6),2)</f>
        <v>1557.8</v>
      </c>
      <c r="E7" s="4" t="n">
        <f aca="false">ROUND(ROUND(((Coefficienti!$B$1+Coefficienti!$B$2*E$2+Coefficienti!$B$3*$A7)*Parametri!$B$1*(1-Parametri!$B$2)+((Coefficienti!$B$4+Coefficienti!$B$5*E$2+Coefficienti!$B$6*$A7)+Coefficienti!$B$7)*(1-Parametri!$B$3))*(1+Parametri!$B$4)+Ferramenta!$D$14+Coefficienti!$B$8*Parametri!$B$5,2)*(1+Parametri!$B$6),2)</f>
        <v>1577.83</v>
      </c>
      <c r="F7" s="4" t="n">
        <f aca="false">ROUND(ROUND(((Coefficienti!$B$1+Coefficienti!$B$2*F$2+Coefficienti!$B$3*$A7)*Parametri!$B$1*(1-Parametri!$B$2)+((Coefficienti!$B$4+Coefficienti!$B$5*F$2+Coefficienti!$B$6*$A7)+Coefficienti!$B$7)*(1-Parametri!$B$3))*(1+Parametri!$B$4)+Ferramenta!$D$14+Coefficienti!$B$8*Parametri!$B$5,2)*(1+Parametri!$B$6),2)</f>
        <v>1597.87</v>
      </c>
      <c r="G7" s="4" t="n">
        <f aca="false">ROUND(ROUND(((Coefficienti!$B$1+Coefficienti!$B$2*G$2+Coefficienti!$B$3*$A7)*Parametri!$B$1*(1-Parametri!$B$2)+((Coefficienti!$B$4+Coefficienti!$B$5*G$2+Coefficienti!$B$6*$A7)+Coefficienti!$B$7)*(1-Parametri!$B$3))*(1+Parametri!$B$4)+Ferramenta!$D$14+Coefficienti!$B$8*Parametri!$B$5,2)*(1+Parametri!$B$6),2)</f>
        <v>1617.93</v>
      </c>
      <c r="H7" s="4" t="n">
        <f aca="false">ROUND(ROUND(((Coefficienti!$B$1+Coefficienti!$B$2*H$2+Coefficienti!$B$3*$A7)*Parametri!$B$1*(1-Parametri!$B$2)+((Coefficienti!$B$4+Coefficienti!$B$5*H$2+Coefficienti!$B$6*$A7)+Coefficienti!$B$7)*(1-Parametri!$B$3))*(1+Parametri!$B$4)+Ferramenta!$D$14+Coefficienti!$B$8*Parametri!$B$5,2)*(1+Parametri!$B$6),2)</f>
        <v>1637.96</v>
      </c>
      <c r="I7" s="4" t="n">
        <f aca="false">ROUND(ROUND(((Coefficienti!$B$1+Coefficienti!$B$2*I$2+Coefficienti!$B$3*$A7)*Parametri!$B$1*(1-Parametri!$B$2)+((Coefficienti!$B$4+Coefficienti!$B$5*I$2+Coefficienti!$B$6*$A7)+Coefficienti!$B$7)*(1-Parametri!$B$3))*(1+Parametri!$B$4)+Ferramenta!$D$14+Coefficienti!$B$8*Parametri!$B$5,2)*(1+Parametri!$B$6),2)</f>
        <v>1657.99</v>
      </c>
      <c r="J7" s="4" t="n">
        <f aca="false">ROUND(ROUND(((Coefficienti!$B$1+Coefficienti!$B$2*J$2+Coefficienti!$B$3*$A7)*Parametri!$B$1*(1-Parametri!$B$2)+((Coefficienti!$B$4+Coefficienti!$B$5*J$2+Coefficienti!$B$6*$A7)+Coefficienti!$B$7)*(1-Parametri!$B$3))*(1+Parametri!$B$4)+Ferramenta!$D$14+Coefficienti!$B$8*Parametri!$B$5,2)*(1+Parametri!$B$6),2)</f>
        <v>1678.02</v>
      </c>
      <c r="K7" s="4" t="n">
        <f aca="false">ROUND(ROUND(((Coefficienti!$B$1+Coefficienti!$B$2*K$2+Coefficienti!$B$3*$A7)*Parametri!$B$1*(1-Parametri!$B$2)+((Coefficienti!$B$4+Coefficienti!$B$5*K$2+Coefficienti!$B$6*$A7)+Coefficienti!$B$7)*(1-Parametri!$B$3))*(1+Parametri!$B$4)+Ferramenta!$D$14+Coefficienti!$B$8*Parametri!$B$5,2)*(1+Parametri!$B$6),2)</f>
        <v>1698.06</v>
      </c>
      <c r="L7" s="4" t="n">
        <f aca="false">ROUND(ROUND(((Coefficienti!$B$1+Coefficienti!$B$2*L$2+Coefficienti!$B$3*$A7)*Parametri!$B$1*(1-Parametri!$B$2)+((Coefficienti!$B$4+Coefficienti!$B$5*L$2+Coefficienti!$B$6*$A7)+Coefficienti!$B$7)*(1-Parametri!$B$3))*(1+Parametri!$B$4)+Ferramenta!$D$14+Coefficienti!$B$8*Parametri!$B$5,2)*(1+Parametri!$B$6),2)</f>
        <v>1718.09</v>
      </c>
      <c r="M7" s="4" t="n">
        <f aca="false">ROUND(ROUND(((Coefficienti!$B$1+Coefficienti!$B$2*M$2+Coefficienti!$B$3*$A7)*Parametri!$B$1*(1-Parametri!$B$2)+((Coefficienti!$B$4+Coefficienti!$B$5*M$2+Coefficienti!$B$6*$A7)+Coefficienti!$B$7)*(1-Parametri!$B$3))*(1+Parametri!$B$4)+Ferramenta!$D$14+Coefficienti!$B$8*Parametri!$B$5,2)*(1+Parametri!$B$6),2)</f>
        <v>1738.12</v>
      </c>
      <c r="N7" s="4" t="n">
        <f aca="false">ROUND(ROUND(((Coefficienti!$B$1+Coefficienti!$B$2*N$2+Coefficienti!$B$3*$A7)*Parametri!$B$1*(1-Parametri!$B$2)+((Coefficienti!$B$4+Coefficienti!$B$5*N$2+Coefficienti!$B$6*$A7)+Coefficienti!$B$7)*(1-Parametri!$B$3))*(1+Parametri!$B$4)+Ferramenta!$D$14+Coefficienti!$B$8*Parametri!$B$5,2)*(1+Parametri!$B$6),2)</f>
        <v>1758.18</v>
      </c>
    </row>
    <row r="8" customFormat="false" ht="15" hidden="false" customHeight="false" outlineLevel="0" collapsed="false">
      <c r="A8" s="2" t="n">
        <v>1000</v>
      </c>
      <c r="B8" s="4" t="n">
        <f aca="false">ROUND(ROUND(((Coefficienti!$B$1+Coefficienti!$B$2*B$2+Coefficienti!$B$3*$A8)*Parametri!$B$1*(1-Parametri!$B$2)+((Coefficienti!$B$4+Coefficienti!$B$5*B$2+Coefficienti!$B$6*$A8)+Coefficienti!$B$7)*(1-Parametri!$B$3))*(1+Parametri!$B$4)+Ferramenta!$D$14+Coefficienti!$B$8*Parametri!$B$5,2)*(1+Parametri!$B$6),2)</f>
        <v>1549.91</v>
      </c>
      <c r="C8" s="4" t="n">
        <f aca="false">ROUND(ROUND(((Coefficienti!$B$1+Coefficienti!$B$2*C$2+Coefficienti!$B$3*$A8)*Parametri!$B$1*(1-Parametri!$B$2)+((Coefficienti!$B$4+Coefficienti!$B$5*C$2+Coefficienti!$B$6*$A8)+Coefficienti!$B$7)*(1-Parametri!$B$3))*(1+Parametri!$B$4)+Ferramenta!$D$14+Coefficienti!$B$8*Parametri!$B$5,2)*(1+Parametri!$B$6),2)</f>
        <v>1569.95</v>
      </c>
      <c r="D8" s="4" t="n">
        <f aca="false">ROUND(ROUND(((Coefficienti!$B$1+Coefficienti!$B$2*D$2+Coefficienti!$B$3*$A8)*Parametri!$B$1*(1-Parametri!$B$2)+((Coefficienti!$B$4+Coefficienti!$B$5*D$2+Coefficienti!$B$6*$A8)+Coefficienti!$B$7)*(1-Parametri!$B$3))*(1+Parametri!$B$4)+Ferramenta!$D$14+Coefficienti!$B$8*Parametri!$B$5,2)*(1+Parametri!$B$6),2)</f>
        <v>1590.01</v>
      </c>
      <c r="E8" s="4" t="n">
        <f aca="false">ROUND(ROUND(((Coefficienti!$B$1+Coefficienti!$B$2*E$2+Coefficienti!$B$3*$A8)*Parametri!$B$1*(1-Parametri!$B$2)+((Coefficienti!$B$4+Coefficienti!$B$5*E$2+Coefficienti!$B$6*$A8)+Coefficienti!$B$7)*(1-Parametri!$B$3))*(1+Parametri!$B$4)+Ferramenta!$D$14+Coefficienti!$B$8*Parametri!$B$5,2)*(1+Parametri!$B$6),2)</f>
        <v>1610.04</v>
      </c>
      <c r="F8" s="4" t="n">
        <f aca="false">ROUND(ROUND(((Coefficienti!$B$1+Coefficienti!$B$2*F$2+Coefficienti!$B$3*$A8)*Parametri!$B$1*(1-Parametri!$B$2)+((Coefficienti!$B$4+Coefficienti!$B$5*F$2+Coefficienti!$B$6*$A8)+Coefficienti!$B$7)*(1-Parametri!$B$3))*(1+Parametri!$B$4)+Ferramenta!$D$14+Coefficienti!$B$8*Parametri!$B$5,2)*(1+Parametri!$B$6),2)</f>
        <v>1630.07</v>
      </c>
      <c r="G8" s="4" t="n">
        <f aca="false">ROUND(ROUND(((Coefficienti!$B$1+Coefficienti!$B$2*G$2+Coefficienti!$B$3*$A8)*Parametri!$B$1*(1-Parametri!$B$2)+((Coefficienti!$B$4+Coefficienti!$B$5*G$2+Coefficienti!$B$6*$A8)+Coefficienti!$B$7)*(1-Parametri!$B$3))*(1+Parametri!$B$4)+Ferramenta!$D$14+Coefficienti!$B$8*Parametri!$B$5,2)*(1+Parametri!$B$6),2)</f>
        <v>1650.1</v>
      </c>
      <c r="H8" s="4" t="n">
        <f aca="false">ROUND(ROUND(((Coefficienti!$B$1+Coefficienti!$B$2*H$2+Coefficienti!$B$3*$A8)*Parametri!$B$1*(1-Parametri!$B$2)+((Coefficienti!$B$4+Coefficienti!$B$5*H$2+Coefficienti!$B$6*$A8)+Coefficienti!$B$7)*(1-Parametri!$B$3))*(1+Parametri!$B$4)+Ferramenta!$D$14+Coefficienti!$B$8*Parametri!$B$5,2)*(1+Parametri!$B$6),2)</f>
        <v>1670.14</v>
      </c>
      <c r="I8" s="4" t="n">
        <f aca="false">ROUND(ROUND(((Coefficienti!$B$1+Coefficienti!$B$2*I$2+Coefficienti!$B$3*$A8)*Parametri!$B$1*(1-Parametri!$B$2)+((Coefficienti!$B$4+Coefficienti!$B$5*I$2+Coefficienti!$B$6*$A8)+Coefficienti!$B$7)*(1-Parametri!$B$3))*(1+Parametri!$B$4)+Ferramenta!$D$14+Coefficienti!$B$8*Parametri!$B$5,2)*(1+Parametri!$B$6),2)</f>
        <v>1690.17</v>
      </c>
      <c r="J8" s="4" t="n">
        <f aca="false">ROUND(ROUND(((Coefficienti!$B$1+Coefficienti!$B$2*J$2+Coefficienti!$B$3*$A8)*Parametri!$B$1*(1-Parametri!$B$2)+((Coefficienti!$B$4+Coefficienti!$B$5*J$2+Coefficienti!$B$6*$A8)+Coefficienti!$B$7)*(1-Parametri!$B$3))*(1+Parametri!$B$4)+Ferramenta!$D$14+Coefficienti!$B$8*Parametri!$B$5,2)*(1+Parametri!$B$6),2)</f>
        <v>1710.2</v>
      </c>
      <c r="K8" s="4" t="n">
        <f aca="false">ROUND(ROUND(((Coefficienti!$B$1+Coefficienti!$B$2*K$2+Coefficienti!$B$3*$A8)*Parametri!$B$1*(1-Parametri!$B$2)+((Coefficienti!$B$4+Coefficienti!$B$5*K$2+Coefficienti!$B$6*$A8)+Coefficienti!$B$7)*(1-Parametri!$B$3))*(1+Parametri!$B$4)+Ferramenta!$D$14+Coefficienti!$B$8*Parametri!$B$5,2)*(1+Parametri!$B$6),2)</f>
        <v>1730.26</v>
      </c>
      <c r="L8" s="4" t="n">
        <f aca="false">ROUND(ROUND(((Coefficienti!$B$1+Coefficienti!$B$2*L$2+Coefficienti!$B$3*$A8)*Parametri!$B$1*(1-Parametri!$B$2)+((Coefficienti!$B$4+Coefficienti!$B$5*L$2+Coefficienti!$B$6*$A8)+Coefficienti!$B$7)*(1-Parametri!$B$3))*(1+Parametri!$B$4)+Ferramenta!$D$14+Coefficienti!$B$8*Parametri!$B$5,2)*(1+Parametri!$B$6),2)</f>
        <v>1750.3</v>
      </c>
      <c r="M8" s="4" t="n">
        <f aca="false">ROUND(ROUND(((Coefficienti!$B$1+Coefficienti!$B$2*M$2+Coefficienti!$B$3*$A8)*Parametri!$B$1*(1-Parametri!$B$2)+((Coefficienti!$B$4+Coefficienti!$B$5*M$2+Coefficienti!$B$6*$A8)+Coefficienti!$B$7)*(1-Parametri!$B$3))*(1+Parametri!$B$4)+Ferramenta!$D$14+Coefficienti!$B$8*Parametri!$B$5,2)*(1+Parametri!$B$6),2)</f>
        <v>1770.33</v>
      </c>
      <c r="N8" s="4" t="n">
        <f aca="false">ROUND(ROUND(((Coefficienti!$B$1+Coefficienti!$B$2*N$2+Coefficienti!$B$3*$A8)*Parametri!$B$1*(1-Parametri!$B$2)+((Coefficienti!$B$4+Coefficienti!$B$5*N$2+Coefficienti!$B$6*$A8)+Coefficienti!$B$7)*(1-Parametri!$B$3))*(1+Parametri!$B$4)+Ferramenta!$D$14+Coefficienti!$B$8*Parametri!$B$5,2)*(1+Parametri!$B$6),2)</f>
        <v>1790.36</v>
      </c>
    </row>
    <row r="9" customFormat="false" ht="15" hidden="false" customHeight="false" outlineLevel="0" collapsed="false">
      <c r="A9" s="2" t="n">
        <v>1100</v>
      </c>
      <c r="B9" s="4" t="n">
        <f aca="false">ROUND(ROUND(((Coefficienti!$B$1+Coefficienti!$B$2*B$2+Coefficienti!$B$3*$A9)*Parametri!$B$1*(1-Parametri!$B$2)+((Coefficienti!$B$4+Coefficienti!$B$5*B$2+Coefficienti!$B$6*$A9)+Coefficienti!$B$7)*(1-Parametri!$B$3))*(1+Parametri!$B$4)+Ferramenta!$D$14+Coefficienti!$B$8*Parametri!$B$5,2)*(1+Parametri!$B$6),2)</f>
        <v>1582.12</v>
      </c>
      <c r="C9" s="4" t="n">
        <f aca="false">ROUND(ROUND(((Coefficienti!$B$1+Coefficienti!$B$2*C$2+Coefficienti!$B$3*$A9)*Parametri!$B$1*(1-Parametri!$B$2)+((Coefficienti!$B$4+Coefficienti!$B$5*C$2+Coefficienti!$B$6*$A9)+Coefficienti!$B$7)*(1-Parametri!$B$3))*(1+Parametri!$B$4)+Ferramenta!$D$14+Coefficienti!$B$8*Parametri!$B$5,2)*(1+Parametri!$B$6),2)</f>
        <v>1602.15</v>
      </c>
      <c r="D9" s="4" t="n">
        <f aca="false">ROUND(ROUND(((Coefficienti!$B$1+Coefficienti!$B$2*D$2+Coefficienti!$B$3*$A9)*Parametri!$B$1*(1-Parametri!$B$2)+((Coefficienti!$B$4+Coefficienti!$B$5*D$2+Coefficienti!$B$6*$A9)+Coefficienti!$B$7)*(1-Parametri!$B$3))*(1+Parametri!$B$4)+Ferramenta!$D$14+Coefficienti!$B$8*Parametri!$B$5,2)*(1+Parametri!$B$6),2)</f>
        <v>1622.19</v>
      </c>
      <c r="E9" s="4" t="n">
        <f aca="false">ROUND(ROUND(((Coefficienti!$B$1+Coefficienti!$B$2*E$2+Coefficienti!$B$3*$A9)*Parametri!$B$1*(1-Parametri!$B$2)+((Coefficienti!$B$4+Coefficienti!$B$5*E$2+Coefficienti!$B$6*$A9)+Coefficienti!$B$7)*(1-Parametri!$B$3))*(1+Parametri!$B$4)+Ferramenta!$D$14+Coefficienti!$B$8*Parametri!$B$5,2)*(1+Parametri!$B$6),2)</f>
        <v>1642.22</v>
      </c>
      <c r="F9" s="4" t="n">
        <f aca="false">ROUND(ROUND(((Coefficienti!$B$1+Coefficienti!$B$2*F$2+Coefficienti!$B$3*$A9)*Parametri!$B$1*(1-Parametri!$B$2)+((Coefficienti!$B$4+Coefficienti!$B$5*F$2+Coefficienti!$B$6*$A9)+Coefficienti!$B$7)*(1-Parametri!$B$3))*(1+Parametri!$B$4)+Ferramenta!$D$14+Coefficienti!$B$8*Parametri!$B$5,2)*(1+Parametri!$B$6),2)</f>
        <v>1662.25</v>
      </c>
      <c r="G9" s="4" t="n">
        <f aca="false">ROUND(ROUND(((Coefficienti!$B$1+Coefficienti!$B$2*G$2+Coefficienti!$B$3*$A9)*Parametri!$B$1*(1-Parametri!$B$2)+((Coefficienti!$B$4+Coefficienti!$B$5*G$2+Coefficienti!$B$6*$A9)+Coefficienti!$B$7)*(1-Parametri!$B$3))*(1+Parametri!$B$4)+Ferramenta!$D$14+Coefficienti!$B$8*Parametri!$B$5,2)*(1+Parametri!$B$6),2)</f>
        <v>1682.28</v>
      </c>
      <c r="H9" s="4" t="n">
        <f aca="false">ROUND(ROUND(((Coefficienti!$B$1+Coefficienti!$B$2*H$2+Coefficienti!$B$3*$A9)*Parametri!$B$1*(1-Parametri!$B$2)+((Coefficienti!$B$4+Coefficienti!$B$5*H$2+Coefficienti!$B$6*$A9)+Coefficienti!$B$7)*(1-Parametri!$B$3))*(1+Parametri!$B$4)+Ferramenta!$D$14+Coefficienti!$B$8*Parametri!$B$5,2)*(1+Parametri!$B$6),2)</f>
        <v>1702.34</v>
      </c>
      <c r="I9" s="4" t="n">
        <f aca="false">ROUND(ROUND(((Coefficienti!$B$1+Coefficienti!$B$2*I$2+Coefficienti!$B$3*$A9)*Parametri!$B$1*(1-Parametri!$B$2)+((Coefficienti!$B$4+Coefficienti!$B$5*I$2+Coefficienti!$B$6*$A9)+Coefficienti!$B$7)*(1-Parametri!$B$3))*(1+Parametri!$B$4)+Ferramenta!$D$14+Coefficienti!$B$8*Parametri!$B$5,2)*(1+Parametri!$B$6),2)</f>
        <v>1722.38</v>
      </c>
      <c r="J9" s="4" t="n">
        <f aca="false">ROUND(ROUND(((Coefficienti!$B$1+Coefficienti!$B$2*J$2+Coefficienti!$B$3*$A9)*Parametri!$B$1*(1-Parametri!$B$2)+((Coefficienti!$B$4+Coefficienti!$B$5*J$2+Coefficienti!$B$6*$A9)+Coefficienti!$B$7)*(1-Parametri!$B$3))*(1+Parametri!$B$4)+Ferramenta!$D$14+Coefficienti!$B$8*Parametri!$B$5,2)*(1+Parametri!$B$6),2)</f>
        <v>1742.41</v>
      </c>
      <c r="K9" s="4" t="n">
        <f aca="false">ROUND(ROUND(((Coefficienti!$B$1+Coefficienti!$B$2*K$2+Coefficienti!$B$3*$A9)*Parametri!$B$1*(1-Parametri!$B$2)+((Coefficienti!$B$4+Coefficienti!$B$5*K$2+Coefficienti!$B$6*$A9)+Coefficienti!$B$7)*(1-Parametri!$B$3))*(1+Parametri!$B$4)+Ferramenta!$D$14+Coefficienti!$B$8*Parametri!$B$5,2)*(1+Parametri!$B$6),2)</f>
        <v>1762.44</v>
      </c>
      <c r="L9" s="4" t="n">
        <f aca="false">ROUND(ROUND(((Coefficienti!$B$1+Coefficienti!$B$2*L$2+Coefficienti!$B$3*$A9)*Parametri!$B$1*(1-Parametri!$B$2)+((Coefficienti!$B$4+Coefficienti!$B$5*L$2+Coefficienti!$B$6*$A9)+Coefficienti!$B$7)*(1-Parametri!$B$3))*(1+Parametri!$B$4)+Ferramenta!$D$14+Coefficienti!$B$8*Parametri!$B$5,2)*(1+Parametri!$B$6),2)</f>
        <v>1782.47</v>
      </c>
      <c r="M9" s="4" t="n">
        <f aca="false">ROUND(ROUND(((Coefficienti!$B$1+Coefficienti!$B$2*M$2+Coefficienti!$B$3*$A9)*Parametri!$B$1*(1-Parametri!$B$2)+((Coefficienti!$B$4+Coefficienti!$B$5*M$2+Coefficienti!$B$6*$A9)+Coefficienti!$B$7)*(1-Parametri!$B$3))*(1+Parametri!$B$4)+Ferramenta!$D$14+Coefficienti!$B$8*Parametri!$B$5,2)*(1+Parametri!$B$6),2)</f>
        <v>1802.5</v>
      </c>
      <c r="N9" s="4" t="n">
        <f aca="false">ROUND(ROUND(((Coefficienti!$B$1+Coefficienti!$B$2*N$2+Coefficienti!$B$3*$A9)*Parametri!$B$1*(1-Parametri!$B$2)+((Coefficienti!$B$4+Coefficienti!$B$5*N$2+Coefficienti!$B$6*$A9)+Coefficienti!$B$7)*(1-Parametri!$B$3))*(1+Parametri!$B$4)+Ferramenta!$D$14+Coefficienti!$B$8*Parametri!$B$5,2)*(1+Parametri!$B$6),2)</f>
        <v>1822.54</v>
      </c>
    </row>
    <row r="10" customFormat="false" ht="15" hidden="false" customHeight="false" outlineLevel="0" collapsed="false">
      <c r="A10" s="2" t="n">
        <v>1200</v>
      </c>
      <c r="B10" s="4" t="n">
        <f aca="false">ROUND(ROUND(((Coefficienti!$B$1+Coefficienti!$B$2*B$2+Coefficienti!$B$3*$A10)*Parametri!$B$1*(1-Parametri!$B$2)+((Coefficienti!$B$4+Coefficienti!$B$5*B$2+Coefficienti!$B$6*$A10)+Coefficienti!$B$7)*(1-Parametri!$B$3))*(1+Parametri!$B$4)+Ferramenta!$D$14+Coefficienti!$B$8*Parametri!$B$5,2)*(1+Parametri!$B$6),2)</f>
        <v>1614.3</v>
      </c>
      <c r="C10" s="4" t="n">
        <f aca="false">ROUND(ROUND(((Coefficienti!$B$1+Coefficienti!$B$2*C$2+Coefficienti!$B$3*$A10)*Parametri!$B$1*(1-Parametri!$B$2)+((Coefficienti!$B$4+Coefficienti!$B$5*C$2+Coefficienti!$B$6*$A10)+Coefficienti!$B$7)*(1-Parametri!$B$3))*(1+Parametri!$B$4)+Ferramenta!$D$14+Coefficienti!$B$8*Parametri!$B$5,2)*(1+Parametri!$B$6),2)</f>
        <v>1634.33</v>
      </c>
      <c r="D10" s="4" t="n">
        <f aca="false">ROUND(ROUND(((Coefficienti!$B$1+Coefficienti!$B$2*D$2+Coefficienti!$B$3*$A10)*Parametri!$B$1*(1-Parametri!$B$2)+((Coefficienti!$B$4+Coefficienti!$B$5*D$2+Coefficienti!$B$6*$A10)+Coefficienti!$B$7)*(1-Parametri!$B$3))*(1+Parametri!$B$4)+Ferramenta!$D$14+Coefficienti!$B$8*Parametri!$B$5,2)*(1+Parametri!$B$6),2)</f>
        <v>1654.36</v>
      </c>
      <c r="E10" s="4" t="n">
        <f aca="false">ROUND(ROUND(((Coefficienti!$B$1+Coefficienti!$B$2*E$2+Coefficienti!$B$3*$A10)*Parametri!$B$1*(1-Parametri!$B$2)+((Coefficienti!$B$4+Coefficienti!$B$5*E$2+Coefficienti!$B$6*$A10)+Coefficienti!$B$7)*(1-Parametri!$B$3))*(1+Parametri!$B$4)+Ferramenta!$D$14+Coefficienti!$B$8*Parametri!$B$5,2)*(1+Parametri!$B$6),2)</f>
        <v>1674.39</v>
      </c>
      <c r="F10" s="4" t="n">
        <f aca="false">ROUND(ROUND(((Coefficienti!$B$1+Coefficienti!$B$2*F$2+Coefficienti!$B$3*$A10)*Parametri!$B$1*(1-Parametri!$B$2)+((Coefficienti!$B$4+Coefficienti!$B$5*F$2+Coefficienti!$B$6*$A10)+Coefficienti!$B$7)*(1-Parametri!$B$3))*(1+Parametri!$B$4)+Ferramenta!$D$14+Coefficienti!$B$8*Parametri!$B$5,2)*(1+Parametri!$B$6),2)</f>
        <v>1694.46</v>
      </c>
      <c r="G10" s="4" t="n">
        <f aca="false">ROUND(ROUND(((Coefficienti!$B$1+Coefficienti!$B$2*G$2+Coefficienti!$B$3*$A10)*Parametri!$B$1*(1-Parametri!$B$2)+((Coefficienti!$B$4+Coefficienti!$B$5*G$2+Coefficienti!$B$6*$A10)+Coefficienti!$B$7)*(1-Parametri!$B$3))*(1+Parametri!$B$4)+Ferramenta!$D$14+Coefficienti!$B$8*Parametri!$B$5,2)*(1+Parametri!$B$6),2)</f>
        <v>1714.49</v>
      </c>
      <c r="H10" s="4" t="n">
        <f aca="false">ROUND(ROUND(((Coefficienti!$B$1+Coefficienti!$B$2*H$2+Coefficienti!$B$3*$A10)*Parametri!$B$1*(1-Parametri!$B$2)+((Coefficienti!$B$4+Coefficienti!$B$5*H$2+Coefficienti!$B$6*$A10)+Coefficienti!$B$7)*(1-Parametri!$B$3))*(1+Parametri!$B$4)+Ferramenta!$D$14+Coefficienti!$B$8*Parametri!$B$5,2)*(1+Parametri!$B$6),2)</f>
        <v>1734.52</v>
      </c>
      <c r="I10" s="4" t="n">
        <f aca="false">ROUND(ROUND(((Coefficienti!$B$1+Coefficienti!$B$2*I$2+Coefficienti!$B$3*$A10)*Parametri!$B$1*(1-Parametri!$B$2)+((Coefficienti!$B$4+Coefficienti!$B$5*I$2+Coefficienti!$B$6*$A10)+Coefficienti!$B$7)*(1-Parametri!$B$3))*(1+Parametri!$B$4)+Ferramenta!$D$14+Coefficienti!$B$8*Parametri!$B$5,2)*(1+Parametri!$B$6),2)</f>
        <v>1754.55</v>
      </c>
      <c r="J10" s="4" t="n">
        <f aca="false">ROUND(ROUND(((Coefficienti!$B$1+Coefficienti!$B$2*J$2+Coefficienti!$B$3*$A10)*Parametri!$B$1*(1-Parametri!$B$2)+((Coefficienti!$B$4+Coefficienti!$B$5*J$2+Coefficienti!$B$6*$A10)+Coefficienti!$B$7)*(1-Parametri!$B$3))*(1+Parametri!$B$4)+Ferramenta!$D$14+Coefficienti!$B$8*Parametri!$B$5,2)*(1+Parametri!$B$6),2)</f>
        <v>1774.58</v>
      </c>
      <c r="K10" s="4" t="n">
        <f aca="false">ROUND(ROUND(((Coefficienti!$B$1+Coefficienti!$B$2*K$2+Coefficienti!$B$3*$A10)*Parametri!$B$1*(1-Parametri!$B$2)+((Coefficienti!$B$4+Coefficienti!$B$5*K$2+Coefficienti!$B$6*$A10)+Coefficienti!$B$7)*(1-Parametri!$B$3))*(1+Parametri!$B$4)+Ferramenta!$D$14+Coefficienti!$B$8*Parametri!$B$5,2)*(1+Parametri!$B$6),2)</f>
        <v>1794.62</v>
      </c>
      <c r="L10" s="4" t="n">
        <f aca="false">ROUND(ROUND(((Coefficienti!$B$1+Coefficienti!$B$2*L$2+Coefficienti!$B$3*$A10)*Parametri!$B$1*(1-Parametri!$B$2)+((Coefficienti!$B$4+Coefficienti!$B$5*L$2+Coefficienti!$B$6*$A10)+Coefficienti!$B$7)*(1-Parametri!$B$3))*(1+Parametri!$B$4)+Ferramenta!$D$14+Coefficienti!$B$8*Parametri!$B$5,2)*(1+Parametri!$B$6),2)</f>
        <v>1814.68</v>
      </c>
      <c r="M10" s="4" t="n">
        <f aca="false">ROUND(ROUND(((Coefficienti!$B$1+Coefficienti!$B$2*M$2+Coefficienti!$B$3*$A10)*Parametri!$B$1*(1-Parametri!$B$2)+((Coefficienti!$B$4+Coefficienti!$B$5*M$2+Coefficienti!$B$6*$A10)+Coefficienti!$B$7)*(1-Parametri!$B$3))*(1+Parametri!$B$4)+Ferramenta!$D$14+Coefficienti!$B$8*Parametri!$B$5,2)*(1+Parametri!$B$6),2)</f>
        <v>1834.71</v>
      </c>
      <c r="N10" s="4" t="n">
        <f aca="false">ROUND(ROUND(((Coefficienti!$B$1+Coefficienti!$B$2*N$2+Coefficienti!$B$3*$A10)*Parametri!$B$1*(1-Parametri!$B$2)+((Coefficienti!$B$4+Coefficienti!$B$5*N$2+Coefficienti!$B$6*$A10)+Coefficienti!$B$7)*(1-Parametri!$B$3))*(1+Parametri!$B$4)+Ferramenta!$D$14+Coefficienti!$B$8*Parametri!$B$5,2)*(1+Parametri!$B$6),2)</f>
        <v>1854.74</v>
      </c>
    </row>
    <row r="11" customFormat="false" ht="15" hidden="false" customHeight="false" outlineLevel="0" collapsed="false">
      <c r="A11" s="2" t="n">
        <v>1300</v>
      </c>
      <c r="B11" s="4" t="n">
        <f aca="false">ROUND(ROUND(((Coefficienti!$B$1+Coefficienti!$B$2*B$2+Coefficienti!$B$3*$A11)*Parametri!$B$1*(1-Parametri!$B$2)+((Coefficienti!$B$4+Coefficienti!$B$5*B$2+Coefficienti!$B$6*$A11)+Coefficienti!$B$7)*(1-Parametri!$B$3))*(1+Parametri!$B$4)+Ferramenta!$D$14+Coefficienti!$B$8*Parametri!$B$5,2)*(1+Parametri!$B$6),2)</f>
        <v>1646.47</v>
      </c>
      <c r="C11" s="4" t="n">
        <f aca="false">ROUND(ROUND(((Coefficienti!$B$1+Coefficienti!$B$2*C$2+Coefficienti!$B$3*$A11)*Parametri!$B$1*(1-Parametri!$B$2)+((Coefficienti!$B$4+Coefficienti!$B$5*C$2+Coefficienti!$B$6*$A11)+Coefficienti!$B$7)*(1-Parametri!$B$3))*(1+Parametri!$B$4)+Ferramenta!$D$14+Coefficienti!$B$8*Parametri!$B$5,2)*(1+Parametri!$B$6),2)</f>
        <v>1666.54</v>
      </c>
      <c r="D11" s="4" t="n">
        <f aca="false">ROUND(ROUND(((Coefficienti!$B$1+Coefficienti!$B$2*D$2+Coefficienti!$B$3*$A11)*Parametri!$B$1*(1-Parametri!$B$2)+((Coefficienti!$B$4+Coefficienti!$B$5*D$2+Coefficienti!$B$6*$A11)+Coefficienti!$B$7)*(1-Parametri!$B$3))*(1+Parametri!$B$4)+Ferramenta!$D$14+Coefficienti!$B$8*Parametri!$B$5,2)*(1+Parametri!$B$6),2)</f>
        <v>1686.57</v>
      </c>
      <c r="E11" s="4" t="n">
        <f aca="false">ROUND(ROUND(((Coefficienti!$B$1+Coefficienti!$B$2*E$2+Coefficienti!$B$3*$A11)*Parametri!$B$1*(1-Parametri!$B$2)+((Coefficienti!$B$4+Coefficienti!$B$5*E$2+Coefficienti!$B$6*$A11)+Coefficienti!$B$7)*(1-Parametri!$B$3))*(1+Parametri!$B$4)+Ferramenta!$D$14+Coefficienti!$B$8*Parametri!$B$5,2)*(1+Parametri!$B$6),2)</f>
        <v>1706.6</v>
      </c>
      <c r="F11" s="4" t="n">
        <f aca="false">ROUND(ROUND(((Coefficienti!$B$1+Coefficienti!$B$2*F$2+Coefficienti!$B$3*$A11)*Parametri!$B$1*(1-Parametri!$B$2)+((Coefficienti!$B$4+Coefficienti!$B$5*F$2+Coefficienti!$B$6*$A11)+Coefficienti!$B$7)*(1-Parametri!$B$3))*(1+Parametri!$B$4)+Ferramenta!$D$14+Coefficienti!$B$8*Parametri!$B$5,2)*(1+Parametri!$B$6),2)</f>
        <v>1726.63</v>
      </c>
      <c r="G11" s="4" t="n">
        <f aca="false">ROUND(ROUND(((Coefficienti!$B$1+Coefficienti!$B$2*G$2+Coefficienti!$B$3*$A11)*Parametri!$B$1*(1-Parametri!$B$2)+((Coefficienti!$B$4+Coefficienti!$B$5*G$2+Coefficienti!$B$6*$A11)+Coefficienti!$B$7)*(1-Parametri!$B$3))*(1+Parametri!$B$4)+Ferramenta!$D$14+Coefficienti!$B$8*Parametri!$B$5,2)*(1+Parametri!$B$6),2)</f>
        <v>1746.67</v>
      </c>
      <c r="H11" s="4" t="n">
        <f aca="false">ROUND(ROUND(((Coefficienti!$B$1+Coefficienti!$B$2*H$2+Coefficienti!$B$3*$A11)*Parametri!$B$1*(1-Parametri!$B$2)+((Coefficienti!$B$4+Coefficienti!$B$5*H$2+Coefficienti!$B$6*$A11)+Coefficienti!$B$7)*(1-Parametri!$B$3))*(1+Parametri!$B$4)+Ferramenta!$D$14+Coefficienti!$B$8*Parametri!$B$5,2)*(1+Parametri!$B$6),2)</f>
        <v>1766.7</v>
      </c>
      <c r="I11" s="4" t="n">
        <f aca="false">ROUND(ROUND(((Coefficienti!$B$1+Coefficienti!$B$2*I$2+Coefficienti!$B$3*$A11)*Parametri!$B$1*(1-Parametri!$B$2)+((Coefficienti!$B$4+Coefficienti!$B$5*I$2+Coefficienti!$B$6*$A11)+Coefficienti!$B$7)*(1-Parametri!$B$3))*(1+Parametri!$B$4)+Ferramenta!$D$14+Coefficienti!$B$8*Parametri!$B$5,2)*(1+Parametri!$B$6),2)</f>
        <v>1786.73</v>
      </c>
      <c r="J11" s="4" t="n">
        <f aca="false">ROUND(ROUND(((Coefficienti!$B$1+Coefficienti!$B$2*J$2+Coefficienti!$B$3*$A11)*Parametri!$B$1*(1-Parametri!$B$2)+((Coefficienti!$B$4+Coefficienti!$B$5*J$2+Coefficienti!$B$6*$A11)+Coefficienti!$B$7)*(1-Parametri!$B$3))*(1+Parametri!$B$4)+Ferramenta!$D$14+Coefficienti!$B$8*Parametri!$B$5,2)*(1+Parametri!$B$6),2)</f>
        <v>1806.79</v>
      </c>
      <c r="K11" s="4" t="n">
        <f aca="false">ROUND(ROUND(((Coefficienti!$B$1+Coefficienti!$B$2*K$2+Coefficienti!$B$3*$A11)*Parametri!$B$1*(1-Parametri!$B$2)+((Coefficienti!$B$4+Coefficienti!$B$5*K$2+Coefficienti!$B$6*$A11)+Coefficienti!$B$7)*(1-Parametri!$B$3))*(1+Parametri!$B$4)+Ferramenta!$D$14+Coefficienti!$B$8*Parametri!$B$5,2)*(1+Parametri!$B$6),2)</f>
        <v>1826.82</v>
      </c>
      <c r="L11" s="4" t="n">
        <f aca="false">ROUND(ROUND(((Coefficienti!$B$1+Coefficienti!$B$2*L$2+Coefficienti!$B$3*$A11)*Parametri!$B$1*(1-Parametri!$B$2)+((Coefficienti!$B$4+Coefficienti!$B$5*L$2+Coefficienti!$B$6*$A11)+Coefficienti!$B$7)*(1-Parametri!$B$3))*(1+Parametri!$B$4)+Ferramenta!$D$14+Coefficienti!$B$8*Parametri!$B$5,2)*(1+Parametri!$B$6),2)</f>
        <v>1846.86</v>
      </c>
      <c r="M11" s="4" t="n">
        <f aca="false">ROUND(ROUND(((Coefficienti!$B$1+Coefficienti!$B$2*M$2+Coefficienti!$B$3*$A11)*Parametri!$B$1*(1-Parametri!$B$2)+((Coefficienti!$B$4+Coefficienti!$B$5*M$2+Coefficienti!$B$6*$A11)+Coefficienti!$B$7)*(1-Parametri!$B$3))*(1+Parametri!$B$4)+Ferramenta!$D$14+Coefficienti!$B$8*Parametri!$B$5,2)*(1+Parametri!$B$6),2)</f>
        <v>1866.89</v>
      </c>
      <c r="N11" s="4" t="n">
        <f aca="false">ROUND(ROUND(((Coefficienti!$B$1+Coefficienti!$B$2*N$2+Coefficienti!$B$3*$A11)*Parametri!$B$1*(1-Parametri!$B$2)+((Coefficienti!$B$4+Coefficienti!$B$5*N$2+Coefficienti!$B$6*$A11)+Coefficienti!$B$7)*(1-Parametri!$B$3))*(1+Parametri!$B$4)+Ferramenta!$D$14+Coefficienti!$B$8*Parametri!$B$5,2)*(1+Parametri!$B$6),2)</f>
        <v>1886.92</v>
      </c>
    </row>
    <row r="12" customFormat="false" ht="15" hidden="false" customHeight="false" outlineLevel="0" collapsed="false">
      <c r="A12" s="2" t="n">
        <v>1400</v>
      </c>
      <c r="B12" s="4" t="n">
        <f aca="false">ROUND(ROUND(((Coefficienti!$B$1+Coefficienti!$B$2*B$2+Coefficienti!$B$3*$A12)*Parametri!$B$1*(1-Parametri!$B$2)+((Coefficienti!$B$4+Coefficienti!$B$5*B$2+Coefficienti!$B$6*$A12)+Coefficienti!$B$7)*(1-Parametri!$B$3))*(1+Parametri!$B$4)+Ferramenta!$D$14+Coefficienti!$B$8*Parametri!$B$5,2)*(1+Parametri!$B$6),2)</f>
        <v>1678.68</v>
      </c>
      <c r="C12" s="4" t="n">
        <f aca="false">ROUND(ROUND(((Coefficienti!$B$1+Coefficienti!$B$2*C$2+Coefficienti!$B$3*$A12)*Parametri!$B$1*(1-Parametri!$B$2)+((Coefficienti!$B$4+Coefficienti!$B$5*C$2+Coefficienti!$B$6*$A12)+Coefficienti!$B$7)*(1-Parametri!$B$3))*(1+Parametri!$B$4)+Ferramenta!$D$14+Coefficienti!$B$8*Parametri!$B$5,2)*(1+Parametri!$B$6),2)</f>
        <v>1698.71</v>
      </c>
      <c r="D12" s="4" t="n">
        <f aca="false">ROUND(ROUND(((Coefficienti!$B$1+Coefficienti!$B$2*D$2+Coefficienti!$B$3*$A12)*Parametri!$B$1*(1-Parametri!$B$2)+((Coefficienti!$B$4+Coefficienti!$B$5*D$2+Coefficienti!$B$6*$A12)+Coefficienti!$B$7)*(1-Parametri!$B$3))*(1+Parametri!$B$4)+Ferramenta!$D$14+Coefficienti!$B$8*Parametri!$B$5,2)*(1+Parametri!$B$6),2)</f>
        <v>1718.75</v>
      </c>
      <c r="E12" s="4" t="n">
        <f aca="false">ROUND(ROUND(((Coefficienti!$B$1+Coefficienti!$B$2*E$2+Coefficienti!$B$3*$A12)*Parametri!$B$1*(1-Parametri!$B$2)+((Coefficienti!$B$4+Coefficienti!$B$5*E$2+Coefficienti!$B$6*$A12)+Coefficienti!$B$7)*(1-Parametri!$B$3))*(1+Parametri!$B$4)+Ferramenta!$D$14+Coefficienti!$B$8*Parametri!$B$5,2)*(1+Parametri!$B$6),2)</f>
        <v>1738.78</v>
      </c>
      <c r="F12" s="4" t="n">
        <f aca="false">ROUND(ROUND(((Coefficienti!$B$1+Coefficienti!$B$2*F$2+Coefficienti!$B$3*$A12)*Parametri!$B$1*(1-Parametri!$B$2)+((Coefficienti!$B$4+Coefficienti!$B$5*F$2+Coefficienti!$B$6*$A12)+Coefficienti!$B$7)*(1-Parametri!$B$3))*(1+Parametri!$B$4)+Ferramenta!$D$14+Coefficienti!$B$8*Parametri!$B$5,2)*(1+Parametri!$B$6),2)</f>
        <v>1758.81</v>
      </c>
      <c r="G12" s="4" t="n">
        <f aca="false">ROUND(ROUND(((Coefficienti!$B$1+Coefficienti!$B$2*G$2+Coefficienti!$B$3*$A12)*Parametri!$B$1*(1-Parametri!$B$2)+((Coefficienti!$B$4+Coefficienti!$B$5*G$2+Coefficienti!$B$6*$A12)+Coefficienti!$B$7)*(1-Parametri!$B$3))*(1+Parametri!$B$4)+Ferramenta!$D$14+Coefficienti!$B$8*Parametri!$B$5,2)*(1+Parametri!$B$6),2)</f>
        <v>1778.87</v>
      </c>
      <c r="H12" s="4" t="n">
        <f aca="false">ROUND(ROUND(((Coefficienti!$B$1+Coefficienti!$B$2*H$2+Coefficienti!$B$3*$A12)*Parametri!$B$1*(1-Parametri!$B$2)+((Coefficienti!$B$4+Coefficienti!$B$5*H$2+Coefficienti!$B$6*$A12)+Coefficienti!$B$7)*(1-Parametri!$B$3))*(1+Parametri!$B$4)+Ferramenta!$D$14+Coefficienti!$B$8*Parametri!$B$5,2)*(1+Parametri!$B$6),2)</f>
        <v>1798.9</v>
      </c>
      <c r="I12" s="4" t="n">
        <f aca="false">ROUND(ROUND(((Coefficienti!$B$1+Coefficienti!$B$2*I$2+Coefficienti!$B$3*$A12)*Parametri!$B$1*(1-Parametri!$B$2)+((Coefficienti!$B$4+Coefficienti!$B$5*I$2+Coefficienti!$B$6*$A12)+Coefficienti!$B$7)*(1-Parametri!$B$3))*(1+Parametri!$B$4)+Ferramenta!$D$14+Coefficienti!$B$8*Parametri!$B$5,2)*(1+Parametri!$B$6),2)</f>
        <v>1818.94</v>
      </c>
      <c r="J12" s="4" t="n">
        <f aca="false">ROUND(ROUND(((Coefficienti!$B$1+Coefficienti!$B$2*J$2+Coefficienti!$B$3*$A12)*Parametri!$B$1*(1-Parametri!$B$2)+((Coefficienti!$B$4+Coefficienti!$B$5*J$2+Coefficienti!$B$6*$A12)+Coefficienti!$B$7)*(1-Parametri!$B$3))*(1+Parametri!$B$4)+Ferramenta!$D$14+Coefficienti!$B$8*Parametri!$B$5,2)*(1+Parametri!$B$6),2)</f>
        <v>1838.97</v>
      </c>
      <c r="K12" s="4" t="n">
        <f aca="false">ROUND(ROUND(((Coefficienti!$B$1+Coefficienti!$B$2*K$2+Coefficienti!$B$3*$A12)*Parametri!$B$1*(1-Parametri!$B$2)+((Coefficienti!$B$4+Coefficienti!$B$5*K$2+Coefficienti!$B$6*$A12)+Coefficienti!$B$7)*(1-Parametri!$B$3))*(1+Parametri!$B$4)+Ferramenta!$D$14+Coefficienti!$B$8*Parametri!$B$5,2)*(1+Parametri!$B$6),2)</f>
        <v>1859</v>
      </c>
      <c r="L12" s="4" t="n">
        <f aca="false">ROUND(ROUND(((Coefficienti!$B$1+Coefficienti!$B$2*L$2+Coefficienti!$B$3*$A12)*Parametri!$B$1*(1-Parametri!$B$2)+((Coefficienti!$B$4+Coefficienti!$B$5*L$2+Coefficienti!$B$6*$A12)+Coefficienti!$B$7)*(1-Parametri!$B$3))*(1+Parametri!$B$4)+Ferramenta!$D$14+Coefficienti!$B$8*Parametri!$B$5,2)*(1+Parametri!$B$6),2)</f>
        <v>1879.03</v>
      </c>
      <c r="M12" s="4" t="n">
        <f aca="false">ROUND(ROUND(((Coefficienti!$B$1+Coefficienti!$B$2*M$2+Coefficienti!$B$3*$A12)*Parametri!$B$1*(1-Parametri!$B$2)+((Coefficienti!$B$4+Coefficienti!$B$5*M$2+Coefficienti!$B$6*$A12)+Coefficienti!$B$7)*(1-Parametri!$B$3))*(1+Parametri!$B$4)+Ferramenta!$D$14+Coefficienti!$B$8*Parametri!$B$5,2)*(1+Parametri!$B$6),2)</f>
        <v>1899.06</v>
      </c>
      <c r="N12" s="4" t="n">
        <f aca="false">ROUND(ROUND(((Coefficienti!$B$1+Coefficienti!$B$2*N$2+Coefficienti!$B$3*$A12)*Parametri!$B$1*(1-Parametri!$B$2)+((Coefficienti!$B$4+Coefficienti!$B$5*N$2+Coefficienti!$B$6*$A12)+Coefficienti!$B$7)*(1-Parametri!$B$3))*(1+Parametri!$B$4)+Ferramenta!$D$14+Coefficienti!$B$8*Parametri!$B$5,2)*(1+Parametri!$B$6),2)</f>
        <v>1919.13</v>
      </c>
    </row>
    <row r="13" customFormat="false" ht="15" hidden="false" customHeight="false" outlineLevel="0" collapsed="false">
      <c r="A13" s="2" t="n">
        <v>1500</v>
      </c>
      <c r="B13" s="4" t="n">
        <f aca="false">ROUND(ROUND(((Coefficienti!$B$1+Coefficienti!$B$2*B$2+Coefficienti!$B$3*$A13)*Parametri!$B$1*(1-Parametri!$B$2)+((Coefficienti!$B$4+Coefficienti!$B$5*B$2+Coefficienti!$B$6*$A13)+Coefficienti!$B$7)*(1-Parametri!$B$3))*(1+Parametri!$B$4)+Ferramenta!$D$14+Coefficienti!$B$8*Parametri!$B$5,2)*(1+Parametri!$B$6),2)</f>
        <v>1710.86</v>
      </c>
      <c r="C13" s="4" t="n">
        <f aca="false">ROUND(ROUND(((Coefficienti!$B$1+Coefficienti!$B$2*C$2+Coefficienti!$B$3*$A13)*Parametri!$B$1*(1-Parametri!$B$2)+((Coefficienti!$B$4+Coefficienti!$B$5*C$2+Coefficienti!$B$6*$A13)+Coefficienti!$B$7)*(1-Parametri!$B$3))*(1+Parametri!$B$4)+Ferramenta!$D$14+Coefficienti!$B$8*Parametri!$B$5,2)*(1+Parametri!$B$6),2)</f>
        <v>1730.89</v>
      </c>
      <c r="D13" s="4" t="n">
        <f aca="false">ROUND(ROUND(((Coefficienti!$B$1+Coefficienti!$B$2*D$2+Coefficienti!$B$3*$A13)*Parametri!$B$1*(1-Parametri!$B$2)+((Coefficienti!$B$4+Coefficienti!$B$5*D$2+Coefficienti!$B$6*$A13)+Coefficienti!$B$7)*(1-Parametri!$B$3))*(1+Parametri!$B$4)+Ferramenta!$D$14+Coefficienti!$B$8*Parametri!$B$5,2)*(1+Parametri!$B$6),2)</f>
        <v>1750.95</v>
      </c>
      <c r="E13" s="4" t="n">
        <f aca="false">ROUND(ROUND(((Coefficienti!$B$1+Coefficienti!$B$2*E$2+Coefficienti!$B$3*$A13)*Parametri!$B$1*(1-Parametri!$B$2)+((Coefficienti!$B$4+Coefficienti!$B$5*E$2+Coefficienti!$B$6*$A13)+Coefficienti!$B$7)*(1-Parametri!$B$3))*(1+Parametri!$B$4)+Ferramenta!$D$14+Coefficienti!$B$8*Parametri!$B$5,2)*(1+Parametri!$B$6),2)</f>
        <v>1770.99</v>
      </c>
      <c r="F13" s="4" t="n">
        <f aca="false">ROUND(ROUND(((Coefficienti!$B$1+Coefficienti!$B$2*F$2+Coefficienti!$B$3*$A13)*Parametri!$B$1*(1-Parametri!$B$2)+((Coefficienti!$B$4+Coefficienti!$B$5*F$2+Coefficienti!$B$6*$A13)+Coefficienti!$B$7)*(1-Parametri!$B$3))*(1+Parametri!$B$4)+Ferramenta!$D$14+Coefficienti!$B$8*Parametri!$B$5,2)*(1+Parametri!$B$6),2)</f>
        <v>1791.02</v>
      </c>
      <c r="G13" s="4" t="n">
        <f aca="false">ROUND(ROUND(((Coefficienti!$B$1+Coefficienti!$B$2*G$2+Coefficienti!$B$3*$A13)*Parametri!$B$1*(1-Parametri!$B$2)+((Coefficienti!$B$4+Coefficienti!$B$5*G$2+Coefficienti!$B$6*$A13)+Coefficienti!$B$7)*(1-Parametri!$B$3))*(1+Parametri!$B$4)+Ferramenta!$D$14+Coefficienti!$B$8*Parametri!$B$5,2)*(1+Parametri!$B$6),2)</f>
        <v>1811.05</v>
      </c>
      <c r="H13" s="4" t="n">
        <f aca="false">ROUND(ROUND(((Coefficienti!$B$1+Coefficienti!$B$2*H$2+Coefficienti!$B$3*$A13)*Parametri!$B$1*(1-Parametri!$B$2)+((Coefficienti!$B$4+Coefficienti!$B$5*H$2+Coefficienti!$B$6*$A13)+Coefficienti!$B$7)*(1-Parametri!$B$3))*(1+Parametri!$B$4)+Ferramenta!$D$14+Coefficienti!$B$8*Parametri!$B$5,2)*(1+Parametri!$B$6),2)</f>
        <v>1831.08</v>
      </c>
      <c r="I13" s="4" t="n">
        <f aca="false">ROUND(ROUND(((Coefficienti!$B$1+Coefficienti!$B$2*I$2+Coefficienti!$B$3*$A13)*Parametri!$B$1*(1-Parametri!$B$2)+((Coefficienti!$B$4+Coefficienti!$B$5*I$2+Coefficienti!$B$6*$A13)+Coefficienti!$B$7)*(1-Parametri!$B$3))*(1+Parametri!$B$4)+Ferramenta!$D$14+Coefficienti!$B$8*Parametri!$B$5,2)*(1+Parametri!$B$6),2)</f>
        <v>1851.11</v>
      </c>
      <c r="J13" s="4" t="n">
        <f aca="false">ROUND(ROUND(((Coefficienti!$B$1+Coefficienti!$B$2*J$2+Coefficienti!$B$3*$A13)*Parametri!$B$1*(1-Parametri!$B$2)+((Coefficienti!$B$4+Coefficienti!$B$5*J$2+Coefficienti!$B$6*$A13)+Coefficienti!$B$7)*(1-Parametri!$B$3))*(1+Parametri!$B$4)+Ferramenta!$D$14+Coefficienti!$B$8*Parametri!$B$5,2)*(1+Parametri!$B$6),2)</f>
        <v>1871.15</v>
      </c>
      <c r="K13" s="4" t="n">
        <f aca="false">ROUND(ROUND(((Coefficienti!$B$1+Coefficienti!$B$2*K$2+Coefficienti!$B$3*$A13)*Parametri!$B$1*(1-Parametri!$B$2)+((Coefficienti!$B$4+Coefficienti!$B$5*K$2+Coefficienti!$B$6*$A13)+Coefficienti!$B$7)*(1-Parametri!$B$3))*(1+Parametri!$B$4)+Ferramenta!$D$14+Coefficienti!$B$8*Parametri!$B$5,2)*(1+Parametri!$B$6),2)</f>
        <v>1891.21</v>
      </c>
      <c r="L13" s="4" t="n">
        <f aca="false">ROUND(ROUND(((Coefficienti!$B$1+Coefficienti!$B$2*L$2+Coefficienti!$B$3*$A13)*Parametri!$B$1*(1-Parametri!$B$2)+((Coefficienti!$B$4+Coefficienti!$B$5*L$2+Coefficienti!$B$6*$A13)+Coefficienti!$B$7)*(1-Parametri!$B$3))*(1+Parametri!$B$4)+Ferramenta!$D$14+Coefficienti!$B$8*Parametri!$B$5,2)*(1+Parametri!$B$6),2)</f>
        <v>1911.24</v>
      </c>
      <c r="M13" s="4" t="n">
        <f aca="false">ROUND(ROUND(((Coefficienti!$B$1+Coefficienti!$B$2*M$2+Coefficienti!$B$3*$A13)*Parametri!$B$1*(1-Parametri!$B$2)+((Coefficienti!$B$4+Coefficienti!$B$5*M$2+Coefficienti!$B$6*$A13)+Coefficienti!$B$7)*(1-Parametri!$B$3))*(1+Parametri!$B$4)+Ferramenta!$D$14+Coefficienti!$B$8*Parametri!$B$5,2)*(1+Parametri!$B$6),2)</f>
        <v>1931.27</v>
      </c>
      <c r="N13" s="4" t="n">
        <f aca="false">ROUND(ROUND(((Coefficienti!$B$1+Coefficienti!$B$2*N$2+Coefficienti!$B$3*$A13)*Parametri!$B$1*(1-Parametri!$B$2)+((Coefficienti!$B$4+Coefficienti!$B$5*N$2+Coefficienti!$B$6*$A13)+Coefficienti!$B$7)*(1-Parametri!$B$3))*(1+Parametri!$B$4)+Ferramenta!$D$14+Coefficienti!$B$8*Parametri!$B$5,2)*(1+Parametri!$B$6),2)</f>
        <v>1951.3</v>
      </c>
    </row>
    <row r="14" customFormat="false" ht="15" hidden="false" customHeight="false" outlineLevel="0" collapsed="false">
      <c r="A14" s="2" t="n">
        <v>1600</v>
      </c>
      <c r="B14" s="4" t="n">
        <f aca="false">ROUND(ROUND(((Coefficienti!$B$1+Coefficienti!$B$2*B$2+Coefficienti!$B$3*$A14)*Parametri!$B$1*(1-Parametri!$B$2)+((Coefficienti!$B$4+Coefficienti!$B$5*B$2+Coefficienti!$B$6*$A14)+Coefficienti!$B$7)*(1-Parametri!$B$3))*(1+Parametri!$B$4)+Ferramenta!$D$14+Coefficienti!$B$8*Parametri!$B$5,2)*(1+Parametri!$B$6),2)</f>
        <v>1743.07</v>
      </c>
      <c r="C14" s="4" t="n">
        <f aca="false">ROUND(ROUND(((Coefficienti!$B$1+Coefficienti!$B$2*C$2+Coefficienti!$B$3*$A14)*Parametri!$B$1*(1-Parametri!$B$2)+((Coefficienti!$B$4+Coefficienti!$B$5*C$2+Coefficienti!$B$6*$A14)+Coefficienti!$B$7)*(1-Parametri!$B$3))*(1+Parametri!$B$4)+Ferramenta!$D$14+Coefficienti!$B$8*Parametri!$B$5,2)*(1+Parametri!$B$6),2)</f>
        <v>1763.1</v>
      </c>
      <c r="D14" s="4" t="n">
        <f aca="false">ROUND(ROUND(((Coefficienti!$B$1+Coefficienti!$B$2*D$2+Coefficienti!$B$3*$A14)*Parametri!$B$1*(1-Parametri!$B$2)+((Coefficienti!$B$4+Coefficienti!$B$5*D$2+Coefficienti!$B$6*$A14)+Coefficienti!$B$7)*(1-Parametri!$B$3))*(1+Parametri!$B$4)+Ferramenta!$D$14+Coefficienti!$B$8*Parametri!$B$5,2)*(1+Parametri!$B$6),2)</f>
        <v>1783.13</v>
      </c>
      <c r="E14" s="4" t="n">
        <f aca="false">ROUND(ROUND(((Coefficienti!$B$1+Coefficienti!$B$2*E$2+Coefficienti!$B$3*$A14)*Parametri!$B$1*(1-Parametri!$B$2)+((Coefficienti!$B$4+Coefficienti!$B$5*E$2+Coefficienti!$B$6*$A14)+Coefficienti!$B$7)*(1-Parametri!$B$3))*(1+Parametri!$B$4)+Ferramenta!$D$14+Coefficienti!$B$8*Parametri!$B$5,2)*(1+Parametri!$B$6),2)</f>
        <v>1803.16</v>
      </c>
      <c r="F14" s="4" t="n">
        <f aca="false">ROUND(ROUND(((Coefficienti!$B$1+Coefficienti!$B$2*F$2+Coefficienti!$B$3*$A14)*Parametri!$B$1*(1-Parametri!$B$2)+((Coefficienti!$B$4+Coefficienti!$B$5*F$2+Coefficienti!$B$6*$A14)+Coefficienti!$B$7)*(1-Parametri!$B$3))*(1+Parametri!$B$4)+Ferramenta!$D$14+Coefficienti!$B$8*Parametri!$B$5,2)*(1+Parametri!$B$6),2)</f>
        <v>1823.19</v>
      </c>
      <c r="G14" s="4" t="n">
        <f aca="false">ROUND(ROUND(((Coefficienti!$B$1+Coefficienti!$B$2*G$2+Coefficienti!$B$3*$A14)*Parametri!$B$1*(1-Parametri!$B$2)+((Coefficienti!$B$4+Coefficienti!$B$5*G$2+Coefficienti!$B$6*$A14)+Coefficienti!$B$7)*(1-Parametri!$B$3))*(1+Parametri!$B$4)+Ferramenta!$D$14+Coefficienti!$B$8*Parametri!$B$5,2)*(1+Parametri!$B$6),2)</f>
        <v>1843.23</v>
      </c>
      <c r="H14" s="4" t="n">
        <f aca="false">ROUND(ROUND(((Coefficienti!$B$1+Coefficienti!$B$2*H$2+Coefficienti!$B$3*$A14)*Parametri!$B$1*(1-Parametri!$B$2)+((Coefficienti!$B$4+Coefficienti!$B$5*H$2+Coefficienti!$B$6*$A14)+Coefficienti!$B$7)*(1-Parametri!$B$3))*(1+Parametri!$B$4)+Ferramenta!$D$14+Coefficienti!$B$8*Parametri!$B$5,2)*(1+Parametri!$B$6),2)</f>
        <v>1863.29</v>
      </c>
      <c r="I14" s="4" t="n">
        <f aca="false">ROUND(ROUND(((Coefficienti!$B$1+Coefficienti!$B$2*I$2+Coefficienti!$B$3*$A14)*Parametri!$B$1*(1-Parametri!$B$2)+((Coefficienti!$B$4+Coefficienti!$B$5*I$2+Coefficienti!$B$6*$A14)+Coefficienti!$B$7)*(1-Parametri!$B$3))*(1+Parametri!$B$4)+Ferramenta!$D$14+Coefficienti!$B$8*Parametri!$B$5,2)*(1+Parametri!$B$6),2)</f>
        <v>1883.32</v>
      </c>
      <c r="J14" s="4" t="n">
        <f aca="false">ROUND(ROUND(((Coefficienti!$B$1+Coefficienti!$B$2*J$2+Coefficienti!$B$3*$A14)*Parametri!$B$1*(1-Parametri!$B$2)+((Coefficienti!$B$4+Coefficienti!$B$5*J$2+Coefficienti!$B$6*$A14)+Coefficienti!$B$7)*(1-Parametri!$B$3))*(1+Parametri!$B$4)+Ferramenta!$D$14+Coefficienti!$B$8*Parametri!$B$5,2)*(1+Parametri!$B$6),2)</f>
        <v>1903.35</v>
      </c>
      <c r="K14" s="4" t="n">
        <f aca="false">ROUND(ROUND(((Coefficienti!$B$1+Coefficienti!$B$2*K$2+Coefficienti!$B$3*$A14)*Parametri!$B$1*(1-Parametri!$B$2)+((Coefficienti!$B$4+Coefficienti!$B$5*K$2+Coefficienti!$B$6*$A14)+Coefficienti!$B$7)*(1-Parametri!$B$3))*(1+Parametri!$B$4)+Ferramenta!$D$14+Coefficienti!$B$8*Parametri!$B$5,2)*(1+Parametri!$B$6),2)</f>
        <v>1923.39</v>
      </c>
      <c r="L14" s="4" t="n">
        <f aca="false">ROUND(ROUND(((Coefficienti!$B$1+Coefficienti!$B$2*L$2+Coefficienti!$B$3*$A14)*Parametri!$B$1*(1-Parametri!$B$2)+((Coefficienti!$B$4+Coefficienti!$B$5*L$2+Coefficienti!$B$6*$A14)+Coefficienti!$B$7)*(1-Parametri!$B$3))*(1+Parametri!$B$4)+Ferramenta!$D$14+Coefficienti!$B$8*Parametri!$B$5,2)*(1+Parametri!$B$6),2)</f>
        <v>1943.42</v>
      </c>
      <c r="M14" s="4" t="n">
        <f aca="false">ROUND(ROUND(((Coefficienti!$B$1+Coefficienti!$B$2*M$2+Coefficienti!$B$3*$A14)*Parametri!$B$1*(1-Parametri!$B$2)+((Coefficienti!$B$4+Coefficienti!$B$5*M$2+Coefficienti!$B$6*$A14)+Coefficienti!$B$7)*(1-Parametri!$B$3))*(1+Parametri!$B$4)+Ferramenta!$D$14+Coefficienti!$B$8*Parametri!$B$5,2)*(1+Parametri!$B$6),2)</f>
        <v>1963.45</v>
      </c>
      <c r="N14" s="4" t="n">
        <f aca="false">ROUND(ROUND(((Coefficienti!$B$1+Coefficienti!$B$2*N$2+Coefficienti!$B$3*$A14)*Parametri!$B$1*(1-Parametri!$B$2)+((Coefficienti!$B$4+Coefficienti!$B$5*N$2+Coefficienti!$B$6*$A14)+Coefficienti!$B$7)*(1-Parametri!$B$3))*(1+Parametri!$B$4)+Ferramenta!$D$14+Coefficienti!$B$8*Parametri!$B$5,2)*(1+Parametri!$B$6),2)</f>
        <v>1983.48</v>
      </c>
    </row>
    <row r="15" customFormat="false" ht="15" hidden="false" customHeight="false" outlineLevel="0" collapsed="false">
      <c r="A15" s="2" t="n">
        <v>1700</v>
      </c>
      <c r="B15" s="4" t="n">
        <f aca="false">ROUND(ROUND(((Coefficienti!$B$1+Coefficienti!$B$2*B$2+Coefficienti!$B$3*$A15)*Parametri!$B$1*(1-Parametri!$B$2)+((Coefficienti!$B$4+Coefficienti!$B$5*B$2+Coefficienti!$B$6*$A15)+Coefficienti!$B$7)*(1-Parametri!$B$3))*(1+Parametri!$B$4)+Ferramenta!$D$14+Coefficienti!$B$8*Parametri!$B$5,2)*(1+Parametri!$B$6),2)</f>
        <v>1775.24</v>
      </c>
      <c r="C15" s="4" t="n">
        <f aca="false">ROUND(ROUND(((Coefficienti!$B$1+Coefficienti!$B$2*C$2+Coefficienti!$B$3*$A15)*Parametri!$B$1*(1-Parametri!$B$2)+((Coefficienti!$B$4+Coefficienti!$B$5*C$2+Coefficienti!$B$6*$A15)+Coefficienti!$B$7)*(1-Parametri!$B$3))*(1+Parametri!$B$4)+Ferramenta!$D$14+Coefficienti!$B$8*Parametri!$B$5,2)*(1+Parametri!$B$6),2)</f>
        <v>1795.27</v>
      </c>
      <c r="D15" s="4" t="n">
        <f aca="false">ROUND(ROUND(((Coefficienti!$B$1+Coefficienti!$B$2*D$2+Coefficienti!$B$3*$A15)*Parametri!$B$1*(1-Parametri!$B$2)+((Coefficienti!$B$4+Coefficienti!$B$5*D$2+Coefficienti!$B$6*$A15)+Coefficienti!$B$7)*(1-Parametri!$B$3))*(1+Parametri!$B$4)+Ferramenta!$D$14+Coefficienti!$B$8*Parametri!$B$5,2)*(1+Parametri!$B$6),2)</f>
        <v>1815.31</v>
      </c>
      <c r="E15" s="4" t="n">
        <f aca="false">ROUND(ROUND(((Coefficienti!$B$1+Coefficienti!$B$2*E$2+Coefficienti!$B$3*$A15)*Parametri!$B$1*(1-Parametri!$B$2)+((Coefficienti!$B$4+Coefficienti!$B$5*E$2+Coefficienti!$B$6*$A15)+Coefficienti!$B$7)*(1-Parametri!$B$3))*(1+Parametri!$B$4)+Ferramenta!$D$14+Coefficienti!$B$8*Parametri!$B$5,2)*(1+Parametri!$B$6),2)</f>
        <v>1835.37</v>
      </c>
      <c r="F15" s="4" t="n">
        <f aca="false">ROUND(ROUND(((Coefficienti!$B$1+Coefficienti!$B$2*F$2+Coefficienti!$B$3*$A15)*Parametri!$B$1*(1-Parametri!$B$2)+((Coefficienti!$B$4+Coefficienti!$B$5*F$2+Coefficienti!$B$6*$A15)+Coefficienti!$B$7)*(1-Parametri!$B$3))*(1+Parametri!$B$4)+Ferramenta!$D$14+Coefficienti!$B$8*Parametri!$B$5,2)*(1+Parametri!$B$6),2)</f>
        <v>1855.4</v>
      </c>
      <c r="G15" s="4" t="n">
        <f aca="false">ROUND(ROUND(((Coefficienti!$B$1+Coefficienti!$B$2*G$2+Coefficienti!$B$3*$A15)*Parametri!$B$1*(1-Parametri!$B$2)+((Coefficienti!$B$4+Coefficienti!$B$5*G$2+Coefficienti!$B$6*$A15)+Coefficienti!$B$7)*(1-Parametri!$B$3))*(1+Parametri!$B$4)+Ferramenta!$D$14+Coefficienti!$B$8*Parametri!$B$5,2)*(1+Parametri!$B$6),2)</f>
        <v>1875.43</v>
      </c>
      <c r="H15" s="4" t="n">
        <f aca="false">ROUND(ROUND(((Coefficienti!$B$1+Coefficienti!$B$2*H$2+Coefficienti!$B$3*$A15)*Parametri!$B$1*(1-Parametri!$B$2)+((Coefficienti!$B$4+Coefficienti!$B$5*H$2+Coefficienti!$B$6*$A15)+Coefficienti!$B$7)*(1-Parametri!$B$3))*(1+Parametri!$B$4)+Ferramenta!$D$14+Coefficienti!$B$8*Parametri!$B$5,2)*(1+Parametri!$B$6),2)</f>
        <v>1895.47</v>
      </c>
      <c r="I15" s="4" t="n">
        <f aca="false">ROUND(ROUND(((Coefficienti!$B$1+Coefficienti!$B$2*I$2+Coefficienti!$B$3*$A15)*Parametri!$B$1*(1-Parametri!$B$2)+((Coefficienti!$B$4+Coefficienti!$B$5*I$2+Coefficienti!$B$6*$A15)+Coefficienti!$B$7)*(1-Parametri!$B$3))*(1+Parametri!$B$4)+Ferramenta!$D$14+Coefficienti!$B$8*Parametri!$B$5,2)*(1+Parametri!$B$6),2)</f>
        <v>1915.5</v>
      </c>
      <c r="J15" s="4" t="n">
        <f aca="false">ROUND(ROUND(((Coefficienti!$B$1+Coefficienti!$B$2*J$2+Coefficienti!$B$3*$A15)*Parametri!$B$1*(1-Parametri!$B$2)+((Coefficienti!$B$4+Coefficienti!$B$5*J$2+Coefficienti!$B$6*$A15)+Coefficienti!$B$7)*(1-Parametri!$B$3))*(1+Parametri!$B$4)+Ferramenta!$D$14+Coefficienti!$B$8*Parametri!$B$5,2)*(1+Parametri!$B$6),2)</f>
        <v>1935.53</v>
      </c>
      <c r="K15" s="4" t="n">
        <f aca="false">ROUND(ROUND(((Coefficienti!$B$1+Coefficienti!$B$2*K$2+Coefficienti!$B$3*$A15)*Parametri!$B$1*(1-Parametri!$B$2)+((Coefficienti!$B$4+Coefficienti!$B$5*K$2+Coefficienti!$B$6*$A15)+Coefficienti!$B$7)*(1-Parametri!$B$3))*(1+Parametri!$B$4)+Ferramenta!$D$14+Coefficienti!$B$8*Parametri!$B$5,2)*(1+Parametri!$B$6),2)</f>
        <v>1955.56</v>
      </c>
      <c r="L15" s="4" t="n">
        <f aca="false">ROUND(ROUND(((Coefficienti!$B$1+Coefficienti!$B$2*L$2+Coefficienti!$B$3*$A15)*Parametri!$B$1*(1-Parametri!$B$2)+((Coefficienti!$B$4+Coefficienti!$B$5*L$2+Coefficienti!$B$6*$A15)+Coefficienti!$B$7)*(1-Parametri!$B$3))*(1+Parametri!$B$4)+Ferramenta!$D$14+Coefficienti!$B$8*Parametri!$B$5,2)*(1+Parametri!$B$6),2)</f>
        <v>1975.62</v>
      </c>
      <c r="M15" s="4" t="n">
        <f aca="false">ROUND(ROUND(((Coefficienti!$B$1+Coefficienti!$B$2*M$2+Coefficienti!$B$3*$A15)*Parametri!$B$1*(1-Parametri!$B$2)+((Coefficienti!$B$4+Coefficienti!$B$5*M$2+Coefficienti!$B$6*$A15)+Coefficienti!$B$7)*(1-Parametri!$B$3))*(1+Parametri!$B$4)+Ferramenta!$D$14+Coefficienti!$B$8*Parametri!$B$5,2)*(1+Parametri!$B$6),2)</f>
        <v>1995.66</v>
      </c>
      <c r="N15" s="4" t="n">
        <f aca="false">ROUND(ROUND(((Coefficienti!$B$1+Coefficienti!$B$2*N$2+Coefficienti!$B$3*$A15)*Parametri!$B$1*(1-Parametri!$B$2)+((Coefficienti!$B$4+Coefficienti!$B$5*N$2+Coefficienti!$B$6*$A15)+Coefficienti!$B$7)*(1-Parametri!$B$3))*(1+Parametri!$B$4)+Ferramenta!$D$14+Coefficienti!$B$8*Parametri!$B$5,2)*(1+Parametri!$B$6),2)</f>
        <v>2015.69</v>
      </c>
    </row>
    <row r="16" customFormat="false" ht="15" hidden="false" customHeight="false" outlineLevel="0" collapsed="false">
      <c r="A16" s="2" t="n">
        <v>1800</v>
      </c>
      <c r="B16" s="4" t="n">
        <f aca="false">ROUND(ROUND(((Coefficienti!$B$1+Coefficienti!$B$2*B$2+Coefficienti!$B$3*$A16)*Parametri!$B$1*(1-Parametri!$B$2)+((Coefficienti!$B$4+Coefficienti!$B$5*B$2+Coefficienti!$B$6*$A16)+Coefficienti!$B$7)*(1-Parametri!$B$3))*(1+Parametri!$B$4)+Ferramenta!$D$14+Coefficienti!$B$8*Parametri!$B$5,2)*(1+Parametri!$B$6),2)</f>
        <v>1807.42</v>
      </c>
      <c r="C16" s="4" t="n">
        <f aca="false">ROUND(ROUND(((Coefficienti!$B$1+Coefficienti!$B$2*C$2+Coefficienti!$B$3*$A16)*Parametri!$B$1*(1-Parametri!$B$2)+((Coefficienti!$B$4+Coefficienti!$B$5*C$2+Coefficienti!$B$6*$A16)+Coefficienti!$B$7)*(1-Parametri!$B$3))*(1+Parametri!$B$4)+Ferramenta!$D$14+Coefficienti!$B$8*Parametri!$B$5,2)*(1+Parametri!$B$6),2)</f>
        <v>1827.48</v>
      </c>
      <c r="D16" s="4" t="n">
        <f aca="false">ROUND(ROUND(((Coefficienti!$B$1+Coefficienti!$B$2*D$2+Coefficienti!$B$3*$A16)*Parametri!$B$1*(1-Parametri!$B$2)+((Coefficienti!$B$4+Coefficienti!$B$5*D$2+Coefficienti!$B$6*$A16)+Coefficienti!$B$7)*(1-Parametri!$B$3))*(1+Parametri!$B$4)+Ferramenta!$D$14+Coefficienti!$B$8*Parametri!$B$5,2)*(1+Parametri!$B$6),2)</f>
        <v>1847.51</v>
      </c>
      <c r="E16" s="4" t="n">
        <f aca="false">ROUND(ROUND(((Coefficienti!$B$1+Coefficienti!$B$2*E$2+Coefficienti!$B$3*$A16)*Parametri!$B$1*(1-Parametri!$B$2)+((Coefficienti!$B$4+Coefficienti!$B$5*E$2+Coefficienti!$B$6*$A16)+Coefficienti!$B$7)*(1-Parametri!$B$3))*(1+Parametri!$B$4)+Ferramenta!$D$14+Coefficienti!$B$8*Parametri!$B$5,2)*(1+Parametri!$B$6),2)</f>
        <v>1867.55</v>
      </c>
      <c r="F16" s="4" t="n">
        <f aca="false">ROUND(ROUND(((Coefficienti!$B$1+Coefficienti!$B$2*F$2+Coefficienti!$B$3*$A16)*Parametri!$B$1*(1-Parametri!$B$2)+((Coefficienti!$B$4+Coefficienti!$B$5*F$2+Coefficienti!$B$6*$A16)+Coefficienti!$B$7)*(1-Parametri!$B$3))*(1+Parametri!$B$4)+Ferramenta!$D$14+Coefficienti!$B$8*Parametri!$B$5,2)*(1+Parametri!$B$6),2)</f>
        <v>1887.58</v>
      </c>
      <c r="G16" s="4" t="n">
        <f aca="false">ROUND(ROUND(((Coefficienti!$B$1+Coefficienti!$B$2*G$2+Coefficienti!$B$3*$A16)*Parametri!$B$1*(1-Parametri!$B$2)+((Coefficienti!$B$4+Coefficienti!$B$5*G$2+Coefficienti!$B$6*$A16)+Coefficienti!$B$7)*(1-Parametri!$B$3))*(1+Parametri!$B$4)+Ferramenta!$D$14+Coefficienti!$B$8*Parametri!$B$5,2)*(1+Parametri!$B$6),2)</f>
        <v>1907.61</v>
      </c>
      <c r="H16" s="4" t="n">
        <f aca="false">ROUND(ROUND(((Coefficienti!$B$1+Coefficienti!$B$2*H$2+Coefficienti!$B$3*$A16)*Parametri!$B$1*(1-Parametri!$B$2)+((Coefficienti!$B$4+Coefficienti!$B$5*H$2+Coefficienti!$B$6*$A16)+Coefficienti!$B$7)*(1-Parametri!$B$3))*(1+Parametri!$B$4)+Ferramenta!$D$14+Coefficienti!$B$8*Parametri!$B$5,2)*(1+Parametri!$B$6),2)</f>
        <v>1927.64</v>
      </c>
      <c r="I16" s="4" t="n">
        <f aca="false">ROUND(ROUND(((Coefficienti!$B$1+Coefficienti!$B$2*I$2+Coefficienti!$B$3*$A16)*Parametri!$B$1*(1-Parametri!$B$2)+((Coefficienti!$B$4+Coefficienti!$B$5*I$2+Coefficienti!$B$6*$A16)+Coefficienti!$B$7)*(1-Parametri!$B$3))*(1+Parametri!$B$4)+Ferramenta!$D$14+Coefficienti!$B$8*Parametri!$B$5,2)*(1+Parametri!$B$6),2)</f>
        <v>1947.67</v>
      </c>
      <c r="J16" s="4" t="n">
        <f aca="false">ROUND(ROUND(((Coefficienti!$B$1+Coefficienti!$B$2*J$2+Coefficienti!$B$3*$A16)*Parametri!$B$1*(1-Parametri!$B$2)+((Coefficienti!$B$4+Coefficienti!$B$5*J$2+Coefficienti!$B$6*$A16)+Coefficienti!$B$7)*(1-Parametri!$B$3))*(1+Parametri!$B$4)+Ferramenta!$D$14+Coefficienti!$B$8*Parametri!$B$5,2)*(1+Parametri!$B$6),2)</f>
        <v>1967.74</v>
      </c>
      <c r="K16" s="4" t="n">
        <f aca="false">ROUND(ROUND(((Coefficienti!$B$1+Coefficienti!$B$2*K$2+Coefficienti!$B$3*$A16)*Parametri!$B$1*(1-Parametri!$B$2)+((Coefficienti!$B$4+Coefficienti!$B$5*K$2+Coefficienti!$B$6*$A16)+Coefficienti!$B$7)*(1-Parametri!$B$3))*(1+Parametri!$B$4)+Ferramenta!$D$14+Coefficienti!$B$8*Parametri!$B$5,2)*(1+Parametri!$B$6),2)</f>
        <v>1987.77</v>
      </c>
      <c r="L16" s="4" t="n">
        <f aca="false">ROUND(ROUND(((Coefficienti!$B$1+Coefficienti!$B$2*L$2+Coefficienti!$B$3*$A16)*Parametri!$B$1*(1-Parametri!$B$2)+((Coefficienti!$B$4+Coefficienti!$B$5*L$2+Coefficienti!$B$6*$A16)+Coefficienti!$B$7)*(1-Parametri!$B$3))*(1+Parametri!$B$4)+Ferramenta!$D$14+Coefficienti!$B$8*Parametri!$B$5,2)*(1+Parametri!$B$6),2)</f>
        <v>2007.8</v>
      </c>
      <c r="M16" s="4" t="n">
        <f aca="false">ROUND(ROUND(((Coefficienti!$B$1+Coefficienti!$B$2*M$2+Coefficienti!$B$3*$A16)*Parametri!$B$1*(1-Parametri!$B$2)+((Coefficienti!$B$4+Coefficienti!$B$5*M$2+Coefficienti!$B$6*$A16)+Coefficienti!$B$7)*(1-Parametri!$B$3))*(1+Parametri!$B$4)+Ferramenta!$D$14+Coefficienti!$B$8*Parametri!$B$5,2)*(1+Parametri!$B$6),2)</f>
        <v>2027.83</v>
      </c>
      <c r="N16" s="4" t="n">
        <f aca="false">ROUND(ROUND(((Coefficienti!$B$1+Coefficienti!$B$2*N$2+Coefficienti!$B$3*$A16)*Parametri!$B$1*(1-Parametri!$B$2)+((Coefficienti!$B$4+Coefficienti!$B$5*N$2+Coefficienti!$B$6*$A16)+Coefficienti!$B$7)*(1-Parametri!$B$3))*(1+Parametri!$B$4)+Ferramenta!$D$14+Coefficienti!$B$8*Parametri!$B$5,2)*(1+Parametri!$B$6),2)</f>
        <v>2047.87</v>
      </c>
    </row>
    <row r="17" customFormat="false" ht="15" hidden="false" customHeight="false" outlineLevel="0" collapsed="false">
      <c r="A17" s="2" t="n">
        <v>1900</v>
      </c>
      <c r="B17" s="4" t="n">
        <f aca="false">ROUND(ROUND(((Coefficienti!$B$1+Coefficienti!$B$2*B$2+Coefficienti!$B$3*$A17)*Parametri!$B$1*(1-Parametri!$B$2)+((Coefficienti!$B$4+Coefficienti!$B$5*B$2+Coefficienti!$B$6*$A17)+Coefficienti!$B$7)*(1-Parametri!$B$3))*(1+Parametri!$B$4)+Ferramenta!$D$14+Coefficienti!$B$8*Parametri!$B$5,2)*(1+Parametri!$B$6),2)</f>
        <v>1839.63</v>
      </c>
      <c r="C17" s="4" t="n">
        <f aca="false">ROUND(ROUND(((Coefficienti!$B$1+Coefficienti!$B$2*C$2+Coefficienti!$B$3*$A17)*Parametri!$B$1*(1-Parametri!$B$2)+((Coefficienti!$B$4+Coefficienti!$B$5*C$2+Coefficienti!$B$6*$A17)+Coefficienti!$B$7)*(1-Parametri!$B$3))*(1+Parametri!$B$4)+Ferramenta!$D$14+Coefficienti!$B$8*Parametri!$B$5,2)*(1+Parametri!$B$6),2)</f>
        <v>1859.66</v>
      </c>
      <c r="D17" s="4" t="n">
        <f aca="false">ROUND(ROUND(((Coefficienti!$B$1+Coefficienti!$B$2*D$2+Coefficienti!$B$3*$A17)*Parametri!$B$1*(1-Parametri!$B$2)+((Coefficienti!$B$4+Coefficienti!$B$5*D$2+Coefficienti!$B$6*$A17)+Coefficienti!$B$7)*(1-Parametri!$B$3))*(1+Parametri!$B$4)+Ferramenta!$D$14+Coefficienti!$B$8*Parametri!$B$5,2)*(1+Parametri!$B$6),2)</f>
        <v>1879.69</v>
      </c>
      <c r="E17" s="4" t="n">
        <f aca="false">ROUND(ROUND(((Coefficienti!$B$1+Coefficienti!$B$2*E$2+Coefficienti!$B$3*$A17)*Parametri!$B$1*(1-Parametri!$B$2)+((Coefficienti!$B$4+Coefficienti!$B$5*E$2+Coefficienti!$B$6*$A17)+Coefficienti!$B$7)*(1-Parametri!$B$3))*(1+Parametri!$B$4)+Ferramenta!$D$14+Coefficienti!$B$8*Parametri!$B$5,2)*(1+Parametri!$B$6),2)</f>
        <v>1899.72</v>
      </c>
      <c r="F17" s="4" t="n">
        <f aca="false">ROUND(ROUND(((Coefficienti!$B$1+Coefficienti!$B$2*F$2+Coefficienti!$B$3*$A17)*Parametri!$B$1*(1-Parametri!$B$2)+((Coefficienti!$B$4+Coefficienti!$B$5*F$2+Coefficienti!$B$6*$A17)+Coefficienti!$B$7)*(1-Parametri!$B$3))*(1+Parametri!$B$4)+Ferramenta!$D$14+Coefficienti!$B$8*Parametri!$B$5,2)*(1+Parametri!$B$6),2)</f>
        <v>1919.75</v>
      </c>
      <c r="G17" s="4" t="n">
        <f aca="false">ROUND(ROUND(((Coefficienti!$B$1+Coefficienti!$B$2*G$2+Coefficienti!$B$3*$A17)*Parametri!$B$1*(1-Parametri!$B$2)+((Coefficienti!$B$4+Coefficienti!$B$5*G$2+Coefficienti!$B$6*$A17)+Coefficienti!$B$7)*(1-Parametri!$B$3))*(1+Parametri!$B$4)+Ferramenta!$D$14+Coefficienti!$B$8*Parametri!$B$5,2)*(1+Parametri!$B$6),2)</f>
        <v>1939.82</v>
      </c>
      <c r="H17" s="4" t="n">
        <f aca="false">ROUND(ROUND(((Coefficienti!$B$1+Coefficienti!$B$2*H$2+Coefficienti!$B$3*$A17)*Parametri!$B$1*(1-Parametri!$B$2)+((Coefficienti!$B$4+Coefficienti!$B$5*H$2+Coefficienti!$B$6*$A17)+Coefficienti!$B$7)*(1-Parametri!$B$3))*(1+Parametri!$B$4)+Ferramenta!$D$14+Coefficienti!$B$8*Parametri!$B$5,2)*(1+Parametri!$B$6),2)</f>
        <v>1959.85</v>
      </c>
      <c r="I17" s="4" t="n">
        <f aca="false">ROUND(ROUND(((Coefficienti!$B$1+Coefficienti!$B$2*I$2+Coefficienti!$B$3*$A17)*Parametri!$B$1*(1-Parametri!$B$2)+((Coefficienti!$B$4+Coefficienti!$B$5*I$2+Coefficienti!$B$6*$A17)+Coefficienti!$B$7)*(1-Parametri!$B$3))*(1+Parametri!$B$4)+Ferramenta!$D$14+Coefficienti!$B$8*Parametri!$B$5,2)*(1+Parametri!$B$6),2)</f>
        <v>1979.88</v>
      </c>
      <c r="J17" s="4" t="n">
        <f aca="false">ROUND(ROUND(((Coefficienti!$B$1+Coefficienti!$B$2*J$2+Coefficienti!$B$3*$A17)*Parametri!$B$1*(1-Parametri!$B$2)+((Coefficienti!$B$4+Coefficienti!$B$5*J$2+Coefficienti!$B$6*$A17)+Coefficienti!$B$7)*(1-Parametri!$B$3))*(1+Parametri!$B$4)+Ferramenta!$D$14+Coefficienti!$B$8*Parametri!$B$5,2)*(1+Parametri!$B$6),2)</f>
        <v>1999.91</v>
      </c>
      <c r="K17" s="4" t="n">
        <f aca="false">ROUND(ROUND(((Coefficienti!$B$1+Coefficienti!$B$2*K$2+Coefficienti!$B$3*$A17)*Parametri!$B$1*(1-Parametri!$B$2)+((Coefficienti!$B$4+Coefficienti!$B$5*K$2+Coefficienti!$B$6*$A17)+Coefficienti!$B$7)*(1-Parametri!$B$3))*(1+Parametri!$B$4)+Ferramenta!$D$14+Coefficienti!$B$8*Parametri!$B$5,2)*(1+Parametri!$B$6),2)</f>
        <v>2019.95</v>
      </c>
      <c r="L17" s="4" t="n">
        <f aca="false">ROUND(ROUND(((Coefficienti!$B$1+Coefficienti!$B$2*L$2+Coefficienti!$B$3*$A17)*Parametri!$B$1*(1-Parametri!$B$2)+((Coefficienti!$B$4+Coefficienti!$B$5*L$2+Coefficienti!$B$6*$A17)+Coefficienti!$B$7)*(1-Parametri!$B$3))*(1+Parametri!$B$4)+Ferramenta!$D$14+Coefficienti!$B$8*Parametri!$B$5,2)*(1+Parametri!$B$6),2)</f>
        <v>2039.98</v>
      </c>
      <c r="M17" s="4" t="n">
        <f aca="false">ROUND(ROUND(((Coefficienti!$B$1+Coefficienti!$B$2*M$2+Coefficienti!$B$3*$A17)*Parametri!$B$1*(1-Parametri!$B$2)+((Coefficienti!$B$4+Coefficienti!$B$5*M$2+Coefficienti!$B$6*$A17)+Coefficienti!$B$7)*(1-Parametri!$B$3))*(1+Parametri!$B$4)+Ferramenta!$D$14+Coefficienti!$B$8*Parametri!$B$5,2)*(1+Parametri!$B$6),2)</f>
        <v>2060.01</v>
      </c>
      <c r="N17" s="4" t="n">
        <f aca="false">ROUND(ROUND(((Coefficienti!$B$1+Coefficienti!$B$2*N$2+Coefficienti!$B$3*$A17)*Parametri!$B$1*(1-Parametri!$B$2)+((Coefficienti!$B$4+Coefficienti!$B$5*N$2+Coefficienti!$B$6*$A17)+Coefficienti!$B$7)*(1-Parametri!$B$3))*(1+Parametri!$B$4)+Ferramenta!$D$14+Coefficienti!$B$8*Parametri!$B$5,2)*(1+Parametri!$B$6),2)</f>
        <v>2080.07</v>
      </c>
    </row>
    <row r="18" customFormat="false" ht="15" hidden="false" customHeight="false" outlineLevel="0" collapsed="false">
      <c r="A18" s="2" t="n">
        <v>2000</v>
      </c>
      <c r="B18" s="4" t="n">
        <f aca="false">ROUND(ROUND(((Coefficienti!$B$1+Coefficienti!$B$2*B$2+Coefficienti!$B$3*$A18)*Parametri!$B$1*(1-Parametri!$B$2)+((Coefficienti!$B$4+Coefficienti!$B$5*B$2+Coefficienti!$B$6*$A18)+Coefficienti!$B$7)*(1-Parametri!$B$3))*(1+Parametri!$B$4)+Ferramenta!$D$14+Coefficienti!$B$8*Parametri!$B$5,2)*(1+Parametri!$B$6),2)</f>
        <v>1871.8</v>
      </c>
      <c r="C18" s="4" t="n">
        <f aca="false">ROUND(ROUND(((Coefficienti!$B$1+Coefficienti!$B$2*C$2+Coefficienti!$B$3*$A18)*Parametri!$B$1*(1-Parametri!$B$2)+((Coefficienti!$B$4+Coefficienti!$B$5*C$2+Coefficienti!$B$6*$A18)+Coefficienti!$B$7)*(1-Parametri!$B$3))*(1+Parametri!$B$4)+Ferramenta!$D$14+Coefficienti!$B$8*Parametri!$B$5,2)*(1+Parametri!$B$6),2)</f>
        <v>1891.83</v>
      </c>
      <c r="D18" s="4" t="n">
        <f aca="false">ROUND(ROUND(((Coefficienti!$B$1+Coefficienti!$B$2*D$2+Coefficienti!$B$3*$A18)*Parametri!$B$1*(1-Parametri!$B$2)+((Coefficienti!$B$4+Coefficienti!$B$5*D$2+Coefficienti!$B$6*$A18)+Coefficienti!$B$7)*(1-Parametri!$B$3))*(1+Parametri!$B$4)+Ferramenta!$D$14+Coefficienti!$B$8*Parametri!$B$5,2)*(1+Parametri!$B$6),2)</f>
        <v>1911.9</v>
      </c>
      <c r="E18" s="4" t="n">
        <f aca="false">ROUND(ROUND(((Coefficienti!$B$1+Coefficienti!$B$2*E$2+Coefficienti!$B$3*$A18)*Parametri!$B$1*(1-Parametri!$B$2)+((Coefficienti!$B$4+Coefficienti!$B$5*E$2+Coefficienti!$B$6*$A18)+Coefficienti!$B$7)*(1-Parametri!$B$3))*(1+Parametri!$B$4)+Ferramenta!$D$14+Coefficienti!$B$8*Parametri!$B$5,2)*(1+Parametri!$B$6),2)</f>
        <v>1931.93</v>
      </c>
      <c r="F18" s="4" t="n">
        <f aca="false">ROUND(ROUND(((Coefficienti!$B$1+Coefficienti!$B$2*F$2+Coefficienti!$B$3*$A18)*Parametri!$B$1*(1-Parametri!$B$2)+((Coefficienti!$B$4+Coefficienti!$B$5*F$2+Coefficienti!$B$6*$A18)+Coefficienti!$B$7)*(1-Parametri!$B$3))*(1+Parametri!$B$4)+Ferramenta!$D$14+Coefficienti!$B$8*Parametri!$B$5,2)*(1+Parametri!$B$6),2)</f>
        <v>1951.96</v>
      </c>
      <c r="G18" s="4" t="n">
        <f aca="false">ROUND(ROUND(((Coefficienti!$B$1+Coefficienti!$B$2*G$2+Coefficienti!$B$3*$A18)*Parametri!$B$1*(1-Parametri!$B$2)+((Coefficienti!$B$4+Coefficienti!$B$5*G$2+Coefficienti!$B$6*$A18)+Coefficienti!$B$7)*(1-Parametri!$B$3))*(1+Parametri!$B$4)+Ferramenta!$D$14+Coefficienti!$B$8*Parametri!$B$5,2)*(1+Parametri!$B$6),2)</f>
        <v>1971.99</v>
      </c>
      <c r="H18" s="4" t="n">
        <f aca="false">ROUND(ROUND(((Coefficienti!$B$1+Coefficienti!$B$2*H$2+Coefficienti!$B$3*$A18)*Parametri!$B$1*(1-Parametri!$B$2)+((Coefficienti!$B$4+Coefficienti!$B$5*H$2+Coefficienti!$B$6*$A18)+Coefficienti!$B$7)*(1-Parametri!$B$3))*(1+Parametri!$B$4)+Ferramenta!$D$14+Coefficienti!$B$8*Parametri!$B$5,2)*(1+Parametri!$B$6),2)</f>
        <v>1992.03</v>
      </c>
      <c r="I18" s="4" t="n">
        <f aca="false">ROUND(ROUND(((Coefficienti!$B$1+Coefficienti!$B$2*I$2+Coefficienti!$B$3*$A18)*Parametri!$B$1*(1-Parametri!$B$2)+((Coefficienti!$B$4+Coefficienti!$B$5*I$2+Coefficienti!$B$6*$A18)+Coefficienti!$B$7)*(1-Parametri!$B$3))*(1+Parametri!$B$4)+Ferramenta!$D$14+Coefficienti!$B$8*Parametri!$B$5,2)*(1+Parametri!$B$6),2)</f>
        <v>2012.06</v>
      </c>
      <c r="J18" s="4" t="n">
        <f aca="false">ROUND(ROUND(((Coefficienti!$B$1+Coefficienti!$B$2*J$2+Coefficienti!$B$3*$A18)*Parametri!$B$1*(1-Parametri!$B$2)+((Coefficienti!$B$4+Coefficienti!$B$5*J$2+Coefficienti!$B$6*$A18)+Coefficienti!$B$7)*(1-Parametri!$B$3))*(1+Parametri!$B$4)+Ferramenta!$D$14+Coefficienti!$B$8*Parametri!$B$5,2)*(1+Parametri!$B$6),2)</f>
        <v>2032.09</v>
      </c>
      <c r="K18" s="4" t="n">
        <f aca="false">ROUND(ROUND(((Coefficienti!$B$1+Coefficienti!$B$2*K$2+Coefficienti!$B$3*$A18)*Parametri!$B$1*(1-Parametri!$B$2)+((Coefficienti!$B$4+Coefficienti!$B$5*K$2+Coefficienti!$B$6*$A18)+Coefficienti!$B$7)*(1-Parametri!$B$3))*(1+Parametri!$B$4)+Ferramenta!$D$14+Coefficienti!$B$8*Parametri!$B$5,2)*(1+Parametri!$B$6),2)</f>
        <v>2052.15</v>
      </c>
      <c r="L18" s="4" t="n">
        <f aca="false">ROUND(ROUND(((Coefficienti!$B$1+Coefficienti!$B$2*L$2+Coefficienti!$B$3*$A18)*Parametri!$B$1*(1-Parametri!$B$2)+((Coefficienti!$B$4+Coefficienti!$B$5*L$2+Coefficienti!$B$6*$A18)+Coefficienti!$B$7)*(1-Parametri!$B$3))*(1+Parametri!$B$4)+Ferramenta!$D$14+Coefficienti!$B$8*Parametri!$B$5,2)*(1+Parametri!$B$6),2)</f>
        <v>2072.19</v>
      </c>
      <c r="M18" s="4" t="n">
        <f aca="false">ROUND(ROUND(((Coefficienti!$B$1+Coefficienti!$B$2*M$2+Coefficienti!$B$3*$A18)*Parametri!$B$1*(1-Parametri!$B$2)+((Coefficienti!$B$4+Coefficienti!$B$5*M$2+Coefficienti!$B$6*$A18)+Coefficienti!$B$7)*(1-Parametri!$B$3))*(1+Parametri!$B$4)+Ferramenta!$D$14+Coefficienti!$B$8*Parametri!$B$5,2)*(1+Parametri!$B$6),2)</f>
        <v>2092.22</v>
      </c>
      <c r="N18" s="4" t="n">
        <f aca="false">ROUND(ROUND(((Coefficienti!$B$1+Coefficienti!$B$2*N$2+Coefficienti!$B$3*$A18)*Parametri!$B$1*(1-Parametri!$B$2)+((Coefficienti!$B$4+Coefficienti!$B$5*N$2+Coefficienti!$B$6*$A18)+Coefficienti!$B$7)*(1-Parametri!$B$3))*(1+Parametri!$B$4)+Ferramenta!$D$14+Coefficienti!$B$8*Parametri!$B$5,2)*(1+Parametri!$B$6),2)</f>
        <v>2112.25</v>
      </c>
    </row>
    <row r="21" customFormat="false" ht="15" hidden="false" customHeight="false" outlineLevel="0" collapsed="false">
      <c r="A21" s="1" t="s">
        <v>2</v>
      </c>
    </row>
    <row r="22" customFormat="false" ht="15" hidden="false" customHeight="false" outlineLevel="0" collapsed="false">
      <c r="A22" s="2" t="s">
        <v>1</v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 customFormat="false" ht="15" hidden="false" customHeight="false" outlineLevel="0" collapsed="false">
      <c r="A23" s="2" t="n">
        <v>500</v>
      </c>
      <c r="B23" s="4" t="n">
        <f aca="false">ROUND(((Coefficienti!$B$1+Coefficienti!$B$2*B$22+Coefficienti!$B$3*$A23)*Parametri!$B$1*(1-Parametri!$B$2)+((Coefficienti!$B$4+Coefficienti!$B$5*B$22+Coefficienti!$B$6*$A23)+Coefficienti!$B$7)*(1-Parametri!$B$3))*(1+Parametri!$B$4)+Ferramenta!$D$14+Coefficienti!$B$8*Parametri!$B$5,2)</f>
        <v>443.76</v>
      </c>
      <c r="C23" s="4" t="n">
        <f aca="false">ROUND(((Coefficienti!$B$1+Coefficienti!$B$2*C$22+Coefficienti!$B$3*$A23)*Parametri!$B$1*(1-Parametri!$B$2)+((Coefficienti!$B$4+Coefficienti!$B$5*C$22+Coefficienti!$B$6*$A23)+Coefficienti!$B$7)*(1-Parametri!$B$3))*(1+Parametri!$B$4)+Ferramenta!$D$14+Coefficienti!$B$8*Parametri!$B$5,2)</f>
        <v>450.16</v>
      </c>
      <c r="D23" s="4" t="n">
        <f aca="false">ROUND(((Coefficienti!$B$1+Coefficienti!$B$2*D$22+Coefficienti!$B$3*$A23)*Parametri!$B$1*(1-Parametri!$B$2)+((Coefficienti!$B$4+Coefficienti!$B$5*D$22+Coefficienti!$B$6*$A23)+Coefficienti!$B$7)*(1-Parametri!$B$3))*(1+Parametri!$B$4)+Ferramenta!$D$14+Coefficienti!$B$8*Parametri!$B$5,2)</f>
        <v>456.57</v>
      </c>
      <c r="E23" s="4" t="n">
        <f aca="false">ROUND(((Coefficienti!$B$1+Coefficienti!$B$2*E$22+Coefficienti!$B$3*$A23)*Parametri!$B$1*(1-Parametri!$B$2)+((Coefficienti!$B$4+Coefficienti!$B$5*E$22+Coefficienti!$B$6*$A23)+Coefficienti!$B$7)*(1-Parametri!$B$3))*(1+Parametri!$B$4)+Ferramenta!$D$14+Coefficienti!$B$8*Parametri!$B$5,2)</f>
        <v>462.97</v>
      </c>
      <c r="F23" s="4" t="n">
        <f aca="false">ROUND(((Coefficienti!$B$1+Coefficienti!$B$2*F$22+Coefficienti!$B$3*$A23)*Parametri!$B$1*(1-Parametri!$B$2)+((Coefficienti!$B$4+Coefficienti!$B$5*F$22+Coefficienti!$B$6*$A23)+Coefficienti!$B$7)*(1-Parametri!$B$3))*(1+Parametri!$B$4)+Ferramenta!$D$14+Coefficienti!$B$8*Parametri!$B$5,2)</f>
        <v>469.37</v>
      </c>
      <c r="G23" s="4" t="n">
        <f aca="false">ROUND(((Coefficienti!$B$1+Coefficienti!$B$2*G$22+Coefficienti!$B$3*$A23)*Parametri!$B$1*(1-Parametri!$B$2)+((Coefficienti!$B$4+Coefficienti!$B$5*G$22+Coefficienti!$B$6*$A23)+Coefficienti!$B$7)*(1-Parametri!$B$3))*(1+Parametri!$B$4)+Ferramenta!$D$14+Coefficienti!$B$8*Parametri!$B$5,2)</f>
        <v>475.77</v>
      </c>
      <c r="H23" s="4" t="n">
        <f aca="false">ROUND(((Coefficienti!$B$1+Coefficienti!$B$2*H$22+Coefficienti!$B$3*$A23)*Parametri!$B$1*(1-Parametri!$B$2)+((Coefficienti!$B$4+Coefficienti!$B$5*H$22+Coefficienti!$B$6*$A23)+Coefficienti!$B$7)*(1-Parametri!$B$3))*(1+Parametri!$B$4)+Ferramenta!$D$14+Coefficienti!$B$8*Parametri!$B$5,2)</f>
        <v>482.17</v>
      </c>
      <c r="I23" s="4" t="n">
        <f aca="false">ROUND(((Coefficienti!$B$1+Coefficienti!$B$2*I$22+Coefficienti!$B$3*$A23)*Parametri!$B$1*(1-Parametri!$B$2)+((Coefficienti!$B$4+Coefficienti!$B$5*I$22+Coefficienti!$B$6*$A23)+Coefficienti!$B$7)*(1-Parametri!$B$3))*(1+Parametri!$B$4)+Ferramenta!$D$14+Coefficienti!$B$8*Parametri!$B$5,2)</f>
        <v>488.57</v>
      </c>
      <c r="J23" s="4" t="n">
        <f aca="false">ROUND(((Coefficienti!$B$1+Coefficienti!$B$2*J$22+Coefficienti!$B$3*$A23)*Parametri!$B$1*(1-Parametri!$B$2)+((Coefficienti!$B$4+Coefficienti!$B$5*J$22+Coefficienti!$B$6*$A23)+Coefficienti!$B$7)*(1-Parametri!$B$3))*(1+Parametri!$B$4)+Ferramenta!$D$14+Coefficienti!$B$8*Parametri!$B$5,2)</f>
        <v>494.97</v>
      </c>
      <c r="K23" s="4" t="n">
        <f aca="false">ROUND(((Coefficienti!$B$1+Coefficienti!$B$2*K$22+Coefficienti!$B$3*$A23)*Parametri!$B$1*(1-Parametri!$B$2)+((Coefficienti!$B$4+Coefficienti!$B$5*K$22+Coefficienti!$B$6*$A23)+Coefficienti!$B$7)*(1-Parametri!$B$3))*(1+Parametri!$B$4)+Ferramenta!$D$14+Coefficienti!$B$8*Parametri!$B$5,2)</f>
        <v>501.38</v>
      </c>
      <c r="L23" s="4" t="n">
        <f aca="false">ROUND(((Coefficienti!$B$1+Coefficienti!$B$2*L$22+Coefficienti!$B$3*$A23)*Parametri!$B$1*(1-Parametri!$B$2)+((Coefficienti!$B$4+Coefficienti!$B$5*L$22+Coefficienti!$B$6*$A23)+Coefficienti!$B$7)*(1-Parametri!$B$3))*(1+Parametri!$B$4)+Ferramenta!$D$14+Coefficienti!$B$8*Parametri!$B$5,2)</f>
        <v>507.78</v>
      </c>
      <c r="M23" s="4" t="n">
        <f aca="false">ROUND(((Coefficienti!$B$1+Coefficienti!$B$2*M$22+Coefficienti!$B$3*$A23)*Parametri!$B$1*(1-Parametri!$B$2)+((Coefficienti!$B$4+Coefficienti!$B$5*M$22+Coefficienti!$B$6*$A23)+Coefficienti!$B$7)*(1-Parametri!$B$3))*(1+Parametri!$B$4)+Ferramenta!$D$14+Coefficienti!$B$8*Parametri!$B$5,2)</f>
        <v>514.18</v>
      </c>
      <c r="N23" s="4" t="n">
        <f aca="false">ROUND(((Coefficienti!$B$1+Coefficienti!$B$2*N$22+Coefficienti!$B$3*$A23)*Parametri!$B$1*(1-Parametri!$B$2)+((Coefficienti!$B$4+Coefficienti!$B$5*N$22+Coefficienti!$B$6*$A23)+Coefficienti!$B$7)*(1-Parametri!$B$3))*(1+Parametri!$B$4)+Ferramenta!$D$14+Coefficienti!$B$8*Parametri!$B$5,2)</f>
        <v>520.58</v>
      </c>
    </row>
    <row r="24" customFormat="false" ht="15" hidden="false" customHeight="false" outlineLevel="0" collapsed="false">
      <c r="A24" s="2" t="n">
        <v>600</v>
      </c>
      <c r="B24" s="4" t="n">
        <f aca="false">ROUND(((Coefficienti!$B$1+Coefficienti!$B$2*B$22+Coefficienti!$B$3*$A24)*Parametri!$B$1*(1-Parametri!$B$2)+((Coefficienti!$B$4+Coefficienti!$B$5*B$22+Coefficienti!$B$6*$A24)+Coefficienti!$B$7)*(1-Parametri!$B$3))*(1+Parametri!$B$4)+Ferramenta!$D$14+Coefficienti!$B$8*Parametri!$B$5,2)</f>
        <v>454.05</v>
      </c>
      <c r="C24" s="4" t="n">
        <f aca="false">ROUND(((Coefficienti!$B$1+Coefficienti!$B$2*C$22+Coefficienti!$B$3*$A24)*Parametri!$B$1*(1-Parametri!$B$2)+((Coefficienti!$B$4+Coefficienti!$B$5*C$22+Coefficienti!$B$6*$A24)+Coefficienti!$B$7)*(1-Parametri!$B$3))*(1+Parametri!$B$4)+Ferramenta!$D$14+Coefficienti!$B$8*Parametri!$B$5,2)</f>
        <v>460.45</v>
      </c>
      <c r="D24" s="4" t="n">
        <f aca="false">ROUND(((Coefficienti!$B$1+Coefficienti!$B$2*D$22+Coefficienti!$B$3*$A24)*Parametri!$B$1*(1-Parametri!$B$2)+((Coefficienti!$B$4+Coefficienti!$B$5*D$22+Coefficienti!$B$6*$A24)+Coefficienti!$B$7)*(1-Parametri!$B$3))*(1+Parametri!$B$4)+Ferramenta!$D$14+Coefficienti!$B$8*Parametri!$B$5,2)</f>
        <v>466.85</v>
      </c>
      <c r="E24" s="4" t="n">
        <f aca="false">ROUND(((Coefficienti!$B$1+Coefficienti!$B$2*E$22+Coefficienti!$B$3*$A24)*Parametri!$B$1*(1-Parametri!$B$2)+((Coefficienti!$B$4+Coefficienti!$B$5*E$22+Coefficienti!$B$6*$A24)+Coefficienti!$B$7)*(1-Parametri!$B$3))*(1+Parametri!$B$4)+Ferramenta!$D$14+Coefficienti!$B$8*Parametri!$B$5,2)</f>
        <v>473.25</v>
      </c>
      <c r="F24" s="4" t="n">
        <f aca="false">ROUND(((Coefficienti!$B$1+Coefficienti!$B$2*F$22+Coefficienti!$B$3*$A24)*Parametri!$B$1*(1-Parametri!$B$2)+((Coefficienti!$B$4+Coefficienti!$B$5*F$22+Coefficienti!$B$6*$A24)+Coefficienti!$B$7)*(1-Parametri!$B$3))*(1+Parametri!$B$4)+Ferramenta!$D$14+Coefficienti!$B$8*Parametri!$B$5,2)</f>
        <v>479.65</v>
      </c>
      <c r="G24" s="4" t="n">
        <f aca="false">ROUND(((Coefficienti!$B$1+Coefficienti!$B$2*G$22+Coefficienti!$B$3*$A24)*Parametri!$B$1*(1-Parametri!$B$2)+((Coefficienti!$B$4+Coefficienti!$B$5*G$22+Coefficienti!$B$6*$A24)+Coefficienti!$B$7)*(1-Parametri!$B$3))*(1+Parametri!$B$4)+Ferramenta!$D$14+Coefficienti!$B$8*Parametri!$B$5,2)</f>
        <v>486.05</v>
      </c>
      <c r="H24" s="4" t="n">
        <f aca="false">ROUND(((Coefficienti!$B$1+Coefficienti!$B$2*H$22+Coefficienti!$B$3*$A24)*Parametri!$B$1*(1-Parametri!$B$2)+((Coefficienti!$B$4+Coefficienti!$B$5*H$22+Coefficienti!$B$6*$A24)+Coefficienti!$B$7)*(1-Parametri!$B$3))*(1+Parametri!$B$4)+Ferramenta!$D$14+Coefficienti!$B$8*Parametri!$B$5,2)</f>
        <v>492.46</v>
      </c>
      <c r="I24" s="4" t="n">
        <f aca="false">ROUND(((Coefficienti!$B$1+Coefficienti!$B$2*I$22+Coefficienti!$B$3*$A24)*Parametri!$B$1*(1-Parametri!$B$2)+((Coefficienti!$B$4+Coefficienti!$B$5*I$22+Coefficienti!$B$6*$A24)+Coefficienti!$B$7)*(1-Parametri!$B$3))*(1+Parametri!$B$4)+Ferramenta!$D$14+Coefficienti!$B$8*Parametri!$B$5,2)</f>
        <v>498.86</v>
      </c>
      <c r="J24" s="4" t="n">
        <f aca="false">ROUND(((Coefficienti!$B$1+Coefficienti!$B$2*J$22+Coefficienti!$B$3*$A24)*Parametri!$B$1*(1-Parametri!$B$2)+((Coefficienti!$B$4+Coefficienti!$B$5*J$22+Coefficienti!$B$6*$A24)+Coefficienti!$B$7)*(1-Parametri!$B$3))*(1+Parametri!$B$4)+Ferramenta!$D$14+Coefficienti!$B$8*Parametri!$B$5,2)</f>
        <v>505.26</v>
      </c>
      <c r="K24" s="4" t="n">
        <f aca="false">ROUND(((Coefficienti!$B$1+Coefficienti!$B$2*K$22+Coefficienti!$B$3*$A24)*Parametri!$B$1*(1-Parametri!$B$2)+((Coefficienti!$B$4+Coefficienti!$B$5*K$22+Coefficienti!$B$6*$A24)+Coefficienti!$B$7)*(1-Parametri!$B$3))*(1+Parametri!$B$4)+Ferramenta!$D$14+Coefficienti!$B$8*Parametri!$B$5,2)</f>
        <v>511.66</v>
      </c>
      <c r="L24" s="4" t="n">
        <f aca="false">ROUND(((Coefficienti!$B$1+Coefficienti!$B$2*L$22+Coefficienti!$B$3*$A24)*Parametri!$B$1*(1-Parametri!$B$2)+((Coefficienti!$B$4+Coefficienti!$B$5*L$22+Coefficienti!$B$6*$A24)+Coefficienti!$B$7)*(1-Parametri!$B$3))*(1+Parametri!$B$4)+Ferramenta!$D$14+Coefficienti!$B$8*Parametri!$B$5,2)</f>
        <v>518.06</v>
      </c>
      <c r="M24" s="4" t="n">
        <f aca="false">ROUND(((Coefficienti!$B$1+Coefficienti!$B$2*M$22+Coefficienti!$B$3*$A24)*Parametri!$B$1*(1-Parametri!$B$2)+((Coefficienti!$B$4+Coefficienti!$B$5*M$22+Coefficienti!$B$6*$A24)+Coefficienti!$B$7)*(1-Parametri!$B$3))*(1+Parametri!$B$4)+Ferramenta!$D$14+Coefficienti!$B$8*Parametri!$B$5,2)</f>
        <v>524.46</v>
      </c>
      <c r="N24" s="4" t="n">
        <f aca="false">ROUND(((Coefficienti!$B$1+Coefficienti!$B$2*N$22+Coefficienti!$B$3*$A24)*Parametri!$B$1*(1-Parametri!$B$2)+((Coefficienti!$B$4+Coefficienti!$B$5*N$22+Coefficienti!$B$6*$A24)+Coefficienti!$B$7)*(1-Parametri!$B$3))*(1+Parametri!$B$4)+Ferramenta!$D$14+Coefficienti!$B$8*Parametri!$B$5,2)</f>
        <v>530.86</v>
      </c>
    </row>
    <row r="25" customFormat="false" ht="15" hidden="false" customHeight="false" outlineLevel="0" collapsed="false">
      <c r="A25" s="2" t="n">
        <v>700</v>
      </c>
      <c r="B25" s="4" t="n">
        <f aca="false">ROUND(((Coefficienti!$B$1+Coefficienti!$B$2*B$22+Coefficienti!$B$3*$A25)*Parametri!$B$1*(1-Parametri!$B$2)+((Coefficienti!$B$4+Coefficienti!$B$5*B$22+Coefficienti!$B$6*$A25)+Coefficienti!$B$7)*(1-Parametri!$B$3))*(1+Parametri!$B$4)+Ferramenta!$D$14+Coefficienti!$B$8*Parametri!$B$5,2)</f>
        <v>464.33</v>
      </c>
      <c r="C25" s="4" t="n">
        <f aca="false">ROUND(((Coefficienti!$B$1+Coefficienti!$B$2*C$22+Coefficienti!$B$3*$A25)*Parametri!$B$1*(1-Parametri!$B$2)+((Coefficienti!$B$4+Coefficienti!$B$5*C$22+Coefficienti!$B$6*$A25)+Coefficienti!$B$7)*(1-Parametri!$B$3))*(1+Parametri!$B$4)+Ferramenta!$D$14+Coefficienti!$B$8*Parametri!$B$5,2)</f>
        <v>470.73</v>
      </c>
      <c r="D25" s="4" t="n">
        <f aca="false">ROUND(((Coefficienti!$B$1+Coefficienti!$B$2*D$22+Coefficienti!$B$3*$A25)*Parametri!$B$1*(1-Parametri!$B$2)+((Coefficienti!$B$4+Coefficienti!$B$5*D$22+Coefficienti!$B$6*$A25)+Coefficienti!$B$7)*(1-Parametri!$B$3))*(1+Parametri!$B$4)+Ferramenta!$D$14+Coefficienti!$B$8*Parametri!$B$5,2)</f>
        <v>477.13</v>
      </c>
      <c r="E25" s="4" t="n">
        <f aca="false">ROUND(((Coefficienti!$B$1+Coefficienti!$B$2*E$22+Coefficienti!$B$3*$A25)*Parametri!$B$1*(1-Parametri!$B$2)+((Coefficienti!$B$4+Coefficienti!$B$5*E$22+Coefficienti!$B$6*$A25)+Coefficienti!$B$7)*(1-Parametri!$B$3))*(1+Parametri!$B$4)+Ferramenta!$D$14+Coefficienti!$B$8*Parametri!$B$5,2)</f>
        <v>483.53</v>
      </c>
      <c r="F25" s="4" t="n">
        <f aca="false">ROUND(((Coefficienti!$B$1+Coefficienti!$B$2*F$22+Coefficienti!$B$3*$A25)*Parametri!$B$1*(1-Parametri!$B$2)+((Coefficienti!$B$4+Coefficienti!$B$5*F$22+Coefficienti!$B$6*$A25)+Coefficienti!$B$7)*(1-Parametri!$B$3))*(1+Parametri!$B$4)+Ferramenta!$D$14+Coefficienti!$B$8*Parametri!$B$5,2)</f>
        <v>489.94</v>
      </c>
      <c r="G25" s="4" t="n">
        <f aca="false">ROUND(((Coefficienti!$B$1+Coefficienti!$B$2*G$22+Coefficienti!$B$3*$A25)*Parametri!$B$1*(1-Parametri!$B$2)+((Coefficienti!$B$4+Coefficienti!$B$5*G$22+Coefficienti!$B$6*$A25)+Coefficienti!$B$7)*(1-Parametri!$B$3))*(1+Parametri!$B$4)+Ferramenta!$D$14+Coefficienti!$B$8*Parametri!$B$5,2)</f>
        <v>496.34</v>
      </c>
      <c r="H25" s="4" t="n">
        <f aca="false">ROUND(((Coefficienti!$B$1+Coefficienti!$B$2*H$22+Coefficienti!$B$3*$A25)*Parametri!$B$1*(1-Parametri!$B$2)+((Coefficienti!$B$4+Coefficienti!$B$5*H$22+Coefficienti!$B$6*$A25)+Coefficienti!$B$7)*(1-Parametri!$B$3))*(1+Parametri!$B$4)+Ferramenta!$D$14+Coefficienti!$B$8*Parametri!$B$5,2)</f>
        <v>502.74</v>
      </c>
      <c r="I25" s="4" t="n">
        <f aca="false">ROUND(((Coefficienti!$B$1+Coefficienti!$B$2*I$22+Coefficienti!$B$3*$A25)*Parametri!$B$1*(1-Parametri!$B$2)+((Coefficienti!$B$4+Coefficienti!$B$5*I$22+Coefficienti!$B$6*$A25)+Coefficienti!$B$7)*(1-Parametri!$B$3))*(1+Parametri!$B$4)+Ferramenta!$D$14+Coefficienti!$B$8*Parametri!$B$5,2)</f>
        <v>509.14</v>
      </c>
      <c r="J25" s="4" t="n">
        <f aca="false">ROUND(((Coefficienti!$B$1+Coefficienti!$B$2*J$22+Coefficienti!$B$3*$A25)*Parametri!$B$1*(1-Parametri!$B$2)+((Coefficienti!$B$4+Coefficienti!$B$5*J$22+Coefficienti!$B$6*$A25)+Coefficienti!$B$7)*(1-Parametri!$B$3))*(1+Parametri!$B$4)+Ferramenta!$D$14+Coefficienti!$B$8*Parametri!$B$5,2)</f>
        <v>515.54</v>
      </c>
      <c r="K25" s="4" t="n">
        <f aca="false">ROUND(((Coefficienti!$B$1+Coefficienti!$B$2*K$22+Coefficienti!$B$3*$A25)*Parametri!$B$1*(1-Parametri!$B$2)+((Coefficienti!$B$4+Coefficienti!$B$5*K$22+Coefficienti!$B$6*$A25)+Coefficienti!$B$7)*(1-Parametri!$B$3))*(1+Parametri!$B$4)+Ferramenta!$D$14+Coefficienti!$B$8*Parametri!$B$5,2)</f>
        <v>521.94</v>
      </c>
      <c r="L25" s="4" t="n">
        <f aca="false">ROUND(((Coefficienti!$B$1+Coefficienti!$B$2*L$22+Coefficienti!$B$3*$A25)*Parametri!$B$1*(1-Parametri!$B$2)+((Coefficienti!$B$4+Coefficienti!$B$5*L$22+Coefficienti!$B$6*$A25)+Coefficienti!$B$7)*(1-Parametri!$B$3))*(1+Parametri!$B$4)+Ferramenta!$D$14+Coefficienti!$B$8*Parametri!$B$5,2)</f>
        <v>528.34</v>
      </c>
      <c r="M25" s="4" t="n">
        <f aca="false">ROUND(((Coefficienti!$B$1+Coefficienti!$B$2*M$22+Coefficienti!$B$3*$A25)*Parametri!$B$1*(1-Parametri!$B$2)+((Coefficienti!$B$4+Coefficienti!$B$5*M$22+Coefficienti!$B$6*$A25)+Coefficienti!$B$7)*(1-Parametri!$B$3))*(1+Parametri!$B$4)+Ferramenta!$D$14+Coefficienti!$B$8*Parametri!$B$5,2)</f>
        <v>534.75</v>
      </c>
      <c r="N25" s="4" t="n">
        <f aca="false">ROUND(((Coefficienti!$B$1+Coefficienti!$B$2*N$22+Coefficienti!$B$3*$A25)*Parametri!$B$1*(1-Parametri!$B$2)+((Coefficienti!$B$4+Coefficienti!$B$5*N$22+Coefficienti!$B$6*$A25)+Coefficienti!$B$7)*(1-Parametri!$B$3))*(1+Parametri!$B$4)+Ferramenta!$D$14+Coefficienti!$B$8*Parametri!$B$5,2)</f>
        <v>541.15</v>
      </c>
    </row>
    <row r="26" customFormat="false" ht="15" hidden="false" customHeight="false" outlineLevel="0" collapsed="false">
      <c r="A26" s="2" t="n">
        <v>800</v>
      </c>
      <c r="B26" s="4" t="n">
        <f aca="false">ROUND(((Coefficienti!$B$1+Coefficienti!$B$2*B$22+Coefficienti!$B$3*$A26)*Parametri!$B$1*(1-Parametri!$B$2)+((Coefficienti!$B$4+Coefficienti!$B$5*B$22+Coefficienti!$B$6*$A26)+Coefficienti!$B$7)*(1-Parametri!$B$3))*(1+Parametri!$B$4)+Ferramenta!$D$14+Coefficienti!$B$8*Parametri!$B$5,2)</f>
        <v>474.61</v>
      </c>
      <c r="C26" s="4" t="n">
        <f aca="false">ROUND(((Coefficienti!$B$1+Coefficienti!$B$2*C$22+Coefficienti!$B$3*$A26)*Parametri!$B$1*(1-Parametri!$B$2)+((Coefficienti!$B$4+Coefficienti!$B$5*C$22+Coefficienti!$B$6*$A26)+Coefficienti!$B$7)*(1-Parametri!$B$3))*(1+Parametri!$B$4)+Ferramenta!$D$14+Coefficienti!$B$8*Parametri!$B$5,2)</f>
        <v>481.02</v>
      </c>
      <c r="D26" s="4" t="n">
        <f aca="false">ROUND(((Coefficienti!$B$1+Coefficienti!$B$2*D$22+Coefficienti!$B$3*$A26)*Parametri!$B$1*(1-Parametri!$B$2)+((Coefficienti!$B$4+Coefficienti!$B$5*D$22+Coefficienti!$B$6*$A26)+Coefficienti!$B$7)*(1-Parametri!$B$3))*(1+Parametri!$B$4)+Ferramenta!$D$14+Coefficienti!$B$8*Parametri!$B$5,2)</f>
        <v>487.42</v>
      </c>
      <c r="E26" s="4" t="n">
        <f aca="false">ROUND(((Coefficienti!$B$1+Coefficienti!$B$2*E$22+Coefficienti!$B$3*$A26)*Parametri!$B$1*(1-Parametri!$B$2)+((Coefficienti!$B$4+Coefficienti!$B$5*E$22+Coefficienti!$B$6*$A26)+Coefficienti!$B$7)*(1-Parametri!$B$3))*(1+Parametri!$B$4)+Ferramenta!$D$14+Coefficienti!$B$8*Parametri!$B$5,2)</f>
        <v>493.82</v>
      </c>
      <c r="F26" s="4" t="n">
        <f aca="false">ROUND(((Coefficienti!$B$1+Coefficienti!$B$2*F$22+Coefficienti!$B$3*$A26)*Parametri!$B$1*(1-Parametri!$B$2)+((Coefficienti!$B$4+Coefficienti!$B$5*F$22+Coefficienti!$B$6*$A26)+Coefficienti!$B$7)*(1-Parametri!$B$3))*(1+Parametri!$B$4)+Ferramenta!$D$14+Coefficienti!$B$8*Parametri!$B$5,2)</f>
        <v>500.22</v>
      </c>
      <c r="G26" s="4" t="n">
        <f aca="false">ROUND(((Coefficienti!$B$1+Coefficienti!$B$2*G$22+Coefficienti!$B$3*$A26)*Parametri!$B$1*(1-Parametri!$B$2)+((Coefficienti!$B$4+Coefficienti!$B$5*G$22+Coefficienti!$B$6*$A26)+Coefficienti!$B$7)*(1-Parametri!$B$3))*(1+Parametri!$B$4)+Ferramenta!$D$14+Coefficienti!$B$8*Parametri!$B$5,2)</f>
        <v>506.62</v>
      </c>
      <c r="H26" s="4" t="n">
        <f aca="false">ROUND(((Coefficienti!$B$1+Coefficienti!$B$2*H$22+Coefficienti!$B$3*$A26)*Parametri!$B$1*(1-Parametri!$B$2)+((Coefficienti!$B$4+Coefficienti!$B$5*H$22+Coefficienti!$B$6*$A26)+Coefficienti!$B$7)*(1-Parametri!$B$3))*(1+Parametri!$B$4)+Ferramenta!$D$14+Coefficienti!$B$8*Parametri!$B$5,2)</f>
        <v>513.02</v>
      </c>
      <c r="I26" s="4" t="n">
        <f aca="false">ROUND(((Coefficienti!$B$1+Coefficienti!$B$2*I$22+Coefficienti!$B$3*$A26)*Parametri!$B$1*(1-Parametri!$B$2)+((Coefficienti!$B$4+Coefficienti!$B$5*I$22+Coefficienti!$B$6*$A26)+Coefficienti!$B$7)*(1-Parametri!$B$3))*(1+Parametri!$B$4)+Ferramenta!$D$14+Coefficienti!$B$8*Parametri!$B$5,2)</f>
        <v>519.42</v>
      </c>
      <c r="J26" s="4" t="n">
        <f aca="false">ROUND(((Coefficienti!$B$1+Coefficienti!$B$2*J$22+Coefficienti!$B$3*$A26)*Parametri!$B$1*(1-Parametri!$B$2)+((Coefficienti!$B$4+Coefficienti!$B$5*J$22+Coefficienti!$B$6*$A26)+Coefficienti!$B$7)*(1-Parametri!$B$3))*(1+Parametri!$B$4)+Ferramenta!$D$14+Coefficienti!$B$8*Parametri!$B$5,2)</f>
        <v>525.83</v>
      </c>
      <c r="K26" s="4" t="n">
        <f aca="false">ROUND(((Coefficienti!$B$1+Coefficienti!$B$2*K$22+Coefficienti!$B$3*$A26)*Parametri!$B$1*(1-Parametri!$B$2)+((Coefficienti!$B$4+Coefficienti!$B$5*K$22+Coefficienti!$B$6*$A26)+Coefficienti!$B$7)*(1-Parametri!$B$3))*(1+Parametri!$B$4)+Ferramenta!$D$14+Coefficienti!$B$8*Parametri!$B$5,2)</f>
        <v>532.23</v>
      </c>
      <c r="L26" s="4" t="n">
        <f aca="false">ROUND(((Coefficienti!$B$1+Coefficienti!$B$2*L$22+Coefficienti!$B$3*$A26)*Parametri!$B$1*(1-Parametri!$B$2)+((Coefficienti!$B$4+Coefficienti!$B$5*L$22+Coefficienti!$B$6*$A26)+Coefficienti!$B$7)*(1-Parametri!$B$3))*(1+Parametri!$B$4)+Ferramenta!$D$14+Coefficienti!$B$8*Parametri!$B$5,2)</f>
        <v>538.63</v>
      </c>
      <c r="M26" s="4" t="n">
        <f aca="false">ROUND(((Coefficienti!$B$1+Coefficienti!$B$2*M$22+Coefficienti!$B$3*$A26)*Parametri!$B$1*(1-Parametri!$B$2)+((Coefficienti!$B$4+Coefficienti!$B$5*M$22+Coefficienti!$B$6*$A26)+Coefficienti!$B$7)*(1-Parametri!$B$3))*(1+Parametri!$B$4)+Ferramenta!$D$14+Coefficienti!$B$8*Parametri!$B$5,2)</f>
        <v>545.03</v>
      </c>
      <c r="N26" s="4" t="n">
        <f aca="false">ROUND(((Coefficienti!$B$1+Coefficienti!$B$2*N$22+Coefficienti!$B$3*$A26)*Parametri!$B$1*(1-Parametri!$B$2)+((Coefficienti!$B$4+Coefficienti!$B$5*N$22+Coefficienti!$B$6*$A26)+Coefficienti!$B$7)*(1-Parametri!$B$3))*(1+Parametri!$B$4)+Ferramenta!$D$14+Coefficienti!$B$8*Parametri!$B$5,2)</f>
        <v>551.43</v>
      </c>
    </row>
    <row r="27" customFormat="false" ht="15" hidden="false" customHeight="false" outlineLevel="0" collapsed="false">
      <c r="A27" s="2" t="n">
        <v>900</v>
      </c>
      <c r="B27" s="4" t="n">
        <f aca="false">ROUND(((Coefficienti!$B$1+Coefficienti!$B$2*B$22+Coefficienti!$B$3*$A27)*Parametri!$B$1*(1-Parametri!$B$2)+((Coefficienti!$B$4+Coefficienti!$B$5*B$22+Coefficienti!$B$6*$A27)+Coefficienti!$B$7)*(1-Parametri!$B$3))*(1+Parametri!$B$4)+Ferramenta!$D$14+Coefficienti!$B$8*Parametri!$B$5,2)</f>
        <v>484.9</v>
      </c>
      <c r="C27" s="4" t="n">
        <f aca="false">ROUND(((Coefficienti!$B$1+Coefficienti!$B$2*C$22+Coefficienti!$B$3*$A27)*Parametri!$B$1*(1-Parametri!$B$2)+((Coefficienti!$B$4+Coefficienti!$B$5*C$22+Coefficienti!$B$6*$A27)+Coefficienti!$B$7)*(1-Parametri!$B$3))*(1+Parametri!$B$4)+Ferramenta!$D$14+Coefficienti!$B$8*Parametri!$B$5,2)</f>
        <v>491.3</v>
      </c>
      <c r="D27" s="4" t="n">
        <f aca="false">ROUND(((Coefficienti!$B$1+Coefficienti!$B$2*D$22+Coefficienti!$B$3*$A27)*Parametri!$B$1*(1-Parametri!$B$2)+((Coefficienti!$B$4+Coefficienti!$B$5*D$22+Coefficienti!$B$6*$A27)+Coefficienti!$B$7)*(1-Parametri!$B$3))*(1+Parametri!$B$4)+Ferramenta!$D$14+Coefficienti!$B$8*Parametri!$B$5,2)</f>
        <v>497.7</v>
      </c>
      <c r="E27" s="4" t="n">
        <f aca="false">ROUND(((Coefficienti!$B$1+Coefficienti!$B$2*E$22+Coefficienti!$B$3*$A27)*Parametri!$B$1*(1-Parametri!$B$2)+((Coefficienti!$B$4+Coefficienti!$B$5*E$22+Coefficienti!$B$6*$A27)+Coefficienti!$B$7)*(1-Parametri!$B$3))*(1+Parametri!$B$4)+Ferramenta!$D$14+Coefficienti!$B$8*Parametri!$B$5,2)</f>
        <v>504.1</v>
      </c>
      <c r="F27" s="4" t="n">
        <f aca="false">ROUND(((Coefficienti!$B$1+Coefficienti!$B$2*F$22+Coefficienti!$B$3*$A27)*Parametri!$B$1*(1-Parametri!$B$2)+((Coefficienti!$B$4+Coefficienti!$B$5*F$22+Coefficienti!$B$6*$A27)+Coefficienti!$B$7)*(1-Parametri!$B$3))*(1+Parametri!$B$4)+Ferramenta!$D$14+Coefficienti!$B$8*Parametri!$B$5,2)</f>
        <v>510.5</v>
      </c>
      <c r="G27" s="4" t="n">
        <f aca="false">ROUND(((Coefficienti!$B$1+Coefficienti!$B$2*G$22+Coefficienti!$B$3*$A27)*Parametri!$B$1*(1-Parametri!$B$2)+((Coefficienti!$B$4+Coefficienti!$B$5*G$22+Coefficienti!$B$6*$A27)+Coefficienti!$B$7)*(1-Parametri!$B$3))*(1+Parametri!$B$4)+Ferramenta!$D$14+Coefficienti!$B$8*Parametri!$B$5,2)</f>
        <v>516.91</v>
      </c>
      <c r="H27" s="4" t="n">
        <f aca="false">ROUND(((Coefficienti!$B$1+Coefficienti!$B$2*H$22+Coefficienti!$B$3*$A27)*Parametri!$B$1*(1-Parametri!$B$2)+((Coefficienti!$B$4+Coefficienti!$B$5*H$22+Coefficienti!$B$6*$A27)+Coefficienti!$B$7)*(1-Parametri!$B$3))*(1+Parametri!$B$4)+Ferramenta!$D$14+Coefficienti!$B$8*Parametri!$B$5,2)</f>
        <v>523.31</v>
      </c>
      <c r="I27" s="4" t="n">
        <f aca="false">ROUND(((Coefficienti!$B$1+Coefficienti!$B$2*I$22+Coefficienti!$B$3*$A27)*Parametri!$B$1*(1-Parametri!$B$2)+((Coefficienti!$B$4+Coefficienti!$B$5*I$22+Coefficienti!$B$6*$A27)+Coefficienti!$B$7)*(1-Parametri!$B$3))*(1+Parametri!$B$4)+Ferramenta!$D$14+Coefficienti!$B$8*Parametri!$B$5,2)</f>
        <v>529.71</v>
      </c>
      <c r="J27" s="4" t="n">
        <f aca="false">ROUND(((Coefficienti!$B$1+Coefficienti!$B$2*J$22+Coefficienti!$B$3*$A27)*Parametri!$B$1*(1-Parametri!$B$2)+((Coefficienti!$B$4+Coefficienti!$B$5*J$22+Coefficienti!$B$6*$A27)+Coefficienti!$B$7)*(1-Parametri!$B$3))*(1+Parametri!$B$4)+Ferramenta!$D$14+Coefficienti!$B$8*Parametri!$B$5,2)</f>
        <v>536.11</v>
      </c>
      <c r="K27" s="4" t="n">
        <f aca="false">ROUND(((Coefficienti!$B$1+Coefficienti!$B$2*K$22+Coefficienti!$B$3*$A27)*Parametri!$B$1*(1-Parametri!$B$2)+((Coefficienti!$B$4+Coefficienti!$B$5*K$22+Coefficienti!$B$6*$A27)+Coefficienti!$B$7)*(1-Parametri!$B$3))*(1+Parametri!$B$4)+Ferramenta!$D$14+Coefficienti!$B$8*Parametri!$B$5,2)</f>
        <v>542.51</v>
      </c>
      <c r="L27" s="4" t="n">
        <f aca="false">ROUND(((Coefficienti!$B$1+Coefficienti!$B$2*L$22+Coefficienti!$B$3*$A27)*Parametri!$B$1*(1-Parametri!$B$2)+((Coefficienti!$B$4+Coefficienti!$B$5*L$22+Coefficienti!$B$6*$A27)+Coefficienti!$B$7)*(1-Parametri!$B$3))*(1+Parametri!$B$4)+Ferramenta!$D$14+Coefficienti!$B$8*Parametri!$B$5,2)</f>
        <v>548.91</v>
      </c>
      <c r="M27" s="4" t="n">
        <f aca="false">ROUND(((Coefficienti!$B$1+Coefficienti!$B$2*M$22+Coefficienti!$B$3*$A27)*Parametri!$B$1*(1-Parametri!$B$2)+((Coefficienti!$B$4+Coefficienti!$B$5*M$22+Coefficienti!$B$6*$A27)+Coefficienti!$B$7)*(1-Parametri!$B$3))*(1+Parametri!$B$4)+Ferramenta!$D$14+Coefficienti!$B$8*Parametri!$B$5,2)</f>
        <v>555.31</v>
      </c>
      <c r="N27" s="4" t="n">
        <f aca="false">ROUND(((Coefficienti!$B$1+Coefficienti!$B$2*N$22+Coefficienti!$B$3*$A27)*Parametri!$B$1*(1-Parametri!$B$2)+((Coefficienti!$B$4+Coefficienti!$B$5*N$22+Coefficienti!$B$6*$A27)+Coefficienti!$B$7)*(1-Parametri!$B$3))*(1+Parametri!$B$4)+Ferramenta!$D$14+Coefficienti!$B$8*Parametri!$B$5,2)</f>
        <v>561.72</v>
      </c>
    </row>
    <row r="28" customFormat="false" ht="15" hidden="false" customHeight="false" outlineLevel="0" collapsed="false">
      <c r="A28" s="2" t="n">
        <v>1000</v>
      </c>
      <c r="B28" s="4" t="n">
        <f aca="false">ROUND(((Coefficienti!$B$1+Coefficienti!$B$2*B$22+Coefficienti!$B$3*$A28)*Parametri!$B$1*(1-Parametri!$B$2)+((Coefficienti!$B$4+Coefficienti!$B$5*B$22+Coefficienti!$B$6*$A28)+Coefficienti!$B$7)*(1-Parametri!$B$3))*(1+Parametri!$B$4)+Ferramenta!$D$14+Coefficienti!$B$8*Parametri!$B$5,2)</f>
        <v>495.18</v>
      </c>
      <c r="C28" s="4" t="n">
        <f aca="false">ROUND(((Coefficienti!$B$1+Coefficienti!$B$2*C$22+Coefficienti!$B$3*$A28)*Parametri!$B$1*(1-Parametri!$B$2)+((Coefficienti!$B$4+Coefficienti!$B$5*C$22+Coefficienti!$B$6*$A28)+Coefficienti!$B$7)*(1-Parametri!$B$3))*(1+Parametri!$B$4)+Ferramenta!$D$14+Coefficienti!$B$8*Parametri!$B$5,2)</f>
        <v>501.58</v>
      </c>
      <c r="D28" s="4" t="n">
        <f aca="false">ROUND(((Coefficienti!$B$1+Coefficienti!$B$2*D$22+Coefficienti!$B$3*$A28)*Parametri!$B$1*(1-Parametri!$B$2)+((Coefficienti!$B$4+Coefficienti!$B$5*D$22+Coefficienti!$B$6*$A28)+Coefficienti!$B$7)*(1-Parametri!$B$3))*(1+Parametri!$B$4)+Ferramenta!$D$14+Coefficienti!$B$8*Parametri!$B$5,2)</f>
        <v>507.99</v>
      </c>
      <c r="E28" s="4" t="n">
        <f aca="false">ROUND(((Coefficienti!$B$1+Coefficienti!$B$2*E$22+Coefficienti!$B$3*$A28)*Parametri!$B$1*(1-Parametri!$B$2)+((Coefficienti!$B$4+Coefficienti!$B$5*E$22+Coefficienti!$B$6*$A28)+Coefficienti!$B$7)*(1-Parametri!$B$3))*(1+Parametri!$B$4)+Ferramenta!$D$14+Coefficienti!$B$8*Parametri!$B$5,2)</f>
        <v>514.39</v>
      </c>
      <c r="F28" s="4" t="n">
        <f aca="false">ROUND(((Coefficienti!$B$1+Coefficienti!$B$2*F$22+Coefficienti!$B$3*$A28)*Parametri!$B$1*(1-Parametri!$B$2)+((Coefficienti!$B$4+Coefficienti!$B$5*F$22+Coefficienti!$B$6*$A28)+Coefficienti!$B$7)*(1-Parametri!$B$3))*(1+Parametri!$B$4)+Ferramenta!$D$14+Coefficienti!$B$8*Parametri!$B$5,2)</f>
        <v>520.79</v>
      </c>
      <c r="G28" s="4" t="n">
        <f aca="false">ROUND(((Coefficienti!$B$1+Coefficienti!$B$2*G$22+Coefficienti!$B$3*$A28)*Parametri!$B$1*(1-Parametri!$B$2)+((Coefficienti!$B$4+Coefficienti!$B$5*G$22+Coefficienti!$B$6*$A28)+Coefficienti!$B$7)*(1-Parametri!$B$3))*(1+Parametri!$B$4)+Ferramenta!$D$14+Coefficienti!$B$8*Parametri!$B$5,2)</f>
        <v>527.19</v>
      </c>
      <c r="H28" s="4" t="n">
        <f aca="false">ROUND(((Coefficienti!$B$1+Coefficienti!$B$2*H$22+Coefficienti!$B$3*$A28)*Parametri!$B$1*(1-Parametri!$B$2)+((Coefficienti!$B$4+Coefficienti!$B$5*H$22+Coefficienti!$B$6*$A28)+Coefficienti!$B$7)*(1-Parametri!$B$3))*(1+Parametri!$B$4)+Ferramenta!$D$14+Coefficienti!$B$8*Parametri!$B$5,2)</f>
        <v>533.59</v>
      </c>
      <c r="I28" s="4" t="n">
        <f aca="false">ROUND(((Coefficienti!$B$1+Coefficienti!$B$2*I$22+Coefficienti!$B$3*$A28)*Parametri!$B$1*(1-Parametri!$B$2)+((Coefficienti!$B$4+Coefficienti!$B$5*I$22+Coefficienti!$B$6*$A28)+Coefficienti!$B$7)*(1-Parametri!$B$3))*(1+Parametri!$B$4)+Ferramenta!$D$14+Coefficienti!$B$8*Parametri!$B$5,2)</f>
        <v>539.99</v>
      </c>
      <c r="J28" s="4" t="n">
        <f aca="false">ROUND(((Coefficienti!$B$1+Coefficienti!$B$2*J$22+Coefficienti!$B$3*$A28)*Parametri!$B$1*(1-Parametri!$B$2)+((Coefficienti!$B$4+Coefficienti!$B$5*J$22+Coefficienti!$B$6*$A28)+Coefficienti!$B$7)*(1-Parametri!$B$3))*(1+Parametri!$B$4)+Ferramenta!$D$14+Coefficienti!$B$8*Parametri!$B$5,2)</f>
        <v>546.39</v>
      </c>
      <c r="K28" s="4" t="n">
        <f aca="false">ROUND(((Coefficienti!$B$1+Coefficienti!$B$2*K$22+Coefficienti!$B$3*$A28)*Parametri!$B$1*(1-Parametri!$B$2)+((Coefficienti!$B$4+Coefficienti!$B$5*K$22+Coefficienti!$B$6*$A28)+Coefficienti!$B$7)*(1-Parametri!$B$3))*(1+Parametri!$B$4)+Ferramenta!$D$14+Coefficienti!$B$8*Parametri!$B$5,2)</f>
        <v>552.8</v>
      </c>
      <c r="L28" s="4" t="n">
        <f aca="false">ROUND(((Coefficienti!$B$1+Coefficienti!$B$2*L$22+Coefficienti!$B$3*$A28)*Parametri!$B$1*(1-Parametri!$B$2)+((Coefficienti!$B$4+Coefficienti!$B$5*L$22+Coefficienti!$B$6*$A28)+Coefficienti!$B$7)*(1-Parametri!$B$3))*(1+Parametri!$B$4)+Ferramenta!$D$14+Coefficienti!$B$8*Parametri!$B$5,2)</f>
        <v>559.2</v>
      </c>
      <c r="M28" s="4" t="n">
        <f aca="false">ROUND(((Coefficienti!$B$1+Coefficienti!$B$2*M$22+Coefficienti!$B$3*$A28)*Parametri!$B$1*(1-Parametri!$B$2)+((Coefficienti!$B$4+Coefficienti!$B$5*M$22+Coefficienti!$B$6*$A28)+Coefficienti!$B$7)*(1-Parametri!$B$3))*(1+Parametri!$B$4)+Ferramenta!$D$14+Coefficienti!$B$8*Parametri!$B$5,2)</f>
        <v>565.6</v>
      </c>
      <c r="N28" s="4" t="n">
        <f aca="false">ROUND(((Coefficienti!$B$1+Coefficienti!$B$2*N$22+Coefficienti!$B$3*$A28)*Parametri!$B$1*(1-Parametri!$B$2)+((Coefficienti!$B$4+Coefficienti!$B$5*N$22+Coefficienti!$B$6*$A28)+Coefficienti!$B$7)*(1-Parametri!$B$3))*(1+Parametri!$B$4)+Ferramenta!$D$14+Coefficienti!$B$8*Parametri!$B$5,2)</f>
        <v>572</v>
      </c>
    </row>
    <row r="29" customFormat="false" ht="15" hidden="false" customHeight="false" outlineLevel="0" collapsed="false">
      <c r="A29" s="2" t="n">
        <v>1100</v>
      </c>
      <c r="B29" s="4" t="n">
        <f aca="false">ROUND(((Coefficienti!$B$1+Coefficienti!$B$2*B$22+Coefficienti!$B$3*$A29)*Parametri!$B$1*(1-Parametri!$B$2)+((Coefficienti!$B$4+Coefficienti!$B$5*B$22+Coefficienti!$B$6*$A29)+Coefficienti!$B$7)*(1-Parametri!$B$3))*(1+Parametri!$B$4)+Ferramenta!$D$14+Coefficienti!$B$8*Parametri!$B$5,2)</f>
        <v>505.47</v>
      </c>
      <c r="C29" s="4" t="n">
        <f aca="false">ROUND(((Coefficienti!$B$1+Coefficienti!$B$2*C$22+Coefficienti!$B$3*$A29)*Parametri!$B$1*(1-Parametri!$B$2)+((Coefficienti!$B$4+Coefficienti!$B$5*C$22+Coefficienti!$B$6*$A29)+Coefficienti!$B$7)*(1-Parametri!$B$3))*(1+Parametri!$B$4)+Ferramenta!$D$14+Coefficienti!$B$8*Parametri!$B$5,2)</f>
        <v>511.87</v>
      </c>
      <c r="D29" s="4" t="n">
        <f aca="false">ROUND(((Coefficienti!$B$1+Coefficienti!$B$2*D$22+Coefficienti!$B$3*$A29)*Parametri!$B$1*(1-Parametri!$B$2)+((Coefficienti!$B$4+Coefficienti!$B$5*D$22+Coefficienti!$B$6*$A29)+Coefficienti!$B$7)*(1-Parametri!$B$3))*(1+Parametri!$B$4)+Ferramenta!$D$14+Coefficienti!$B$8*Parametri!$B$5,2)</f>
        <v>518.27</v>
      </c>
      <c r="E29" s="4" t="n">
        <f aca="false">ROUND(((Coefficienti!$B$1+Coefficienti!$B$2*E$22+Coefficienti!$B$3*$A29)*Parametri!$B$1*(1-Parametri!$B$2)+((Coefficienti!$B$4+Coefficienti!$B$5*E$22+Coefficienti!$B$6*$A29)+Coefficienti!$B$7)*(1-Parametri!$B$3))*(1+Parametri!$B$4)+Ferramenta!$D$14+Coefficienti!$B$8*Parametri!$B$5,2)</f>
        <v>524.67</v>
      </c>
      <c r="F29" s="4" t="n">
        <f aca="false">ROUND(((Coefficienti!$B$1+Coefficienti!$B$2*F$22+Coefficienti!$B$3*$A29)*Parametri!$B$1*(1-Parametri!$B$2)+((Coefficienti!$B$4+Coefficienti!$B$5*F$22+Coefficienti!$B$6*$A29)+Coefficienti!$B$7)*(1-Parametri!$B$3))*(1+Parametri!$B$4)+Ferramenta!$D$14+Coefficienti!$B$8*Parametri!$B$5,2)</f>
        <v>531.07</v>
      </c>
      <c r="G29" s="4" t="n">
        <f aca="false">ROUND(((Coefficienti!$B$1+Coefficienti!$B$2*G$22+Coefficienti!$B$3*$A29)*Parametri!$B$1*(1-Parametri!$B$2)+((Coefficienti!$B$4+Coefficienti!$B$5*G$22+Coefficienti!$B$6*$A29)+Coefficienti!$B$7)*(1-Parametri!$B$3))*(1+Parametri!$B$4)+Ferramenta!$D$14+Coefficienti!$B$8*Parametri!$B$5,2)</f>
        <v>537.47</v>
      </c>
      <c r="H29" s="4" t="n">
        <f aca="false">ROUND(((Coefficienti!$B$1+Coefficienti!$B$2*H$22+Coefficienti!$B$3*$A29)*Parametri!$B$1*(1-Parametri!$B$2)+((Coefficienti!$B$4+Coefficienti!$B$5*H$22+Coefficienti!$B$6*$A29)+Coefficienti!$B$7)*(1-Parametri!$B$3))*(1+Parametri!$B$4)+Ferramenta!$D$14+Coefficienti!$B$8*Parametri!$B$5,2)</f>
        <v>543.88</v>
      </c>
      <c r="I29" s="4" t="n">
        <f aca="false">ROUND(((Coefficienti!$B$1+Coefficienti!$B$2*I$22+Coefficienti!$B$3*$A29)*Parametri!$B$1*(1-Parametri!$B$2)+((Coefficienti!$B$4+Coefficienti!$B$5*I$22+Coefficienti!$B$6*$A29)+Coefficienti!$B$7)*(1-Parametri!$B$3))*(1+Parametri!$B$4)+Ferramenta!$D$14+Coefficienti!$B$8*Parametri!$B$5,2)</f>
        <v>550.28</v>
      </c>
      <c r="J29" s="4" t="n">
        <f aca="false">ROUND(((Coefficienti!$B$1+Coefficienti!$B$2*J$22+Coefficienti!$B$3*$A29)*Parametri!$B$1*(1-Parametri!$B$2)+((Coefficienti!$B$4+Coefficienti!$B$5*J$22+Coefficienti!$B$6*$A29)+Coefficienti!$B$7)*(1-Parametri!$B$3))*(1+Parametri!$B$4)+Ferramenta!$D$14+Coefficienti!$B$8*Parametri!$B$5,2)</f>
        <v>556.68</v>
      </c>
      <c r="K29" s="4" t="n">
        <f aca="false">ROUND(((Coefficienti!$B$1+Coefficienti!$B$2*K$22+Coefficienti!$B$3*$A29)*Parametri!$B$1*(1-Parametri!$B$2)+((Coefficienti!$B$4+Coefficienti!$B$5*K$22+Coefficienti!$B$6*$A29)+Coefficienti!$B$7)*(1-Parametri!$B$3))*(1+Parametri!$B$4)+Ferramenta!$D$14+Coefficienti!$B$8*Parametri!$B$5,2)</f>
        <v>563.08</v>
      </c>
      <c r="L29" s="4" t="n">
        <f aca="false">ROUND(((Coefficienti!$B$1+Coefficienti!$B$2*L$22+Coefficienti!$B$3*$A29)*Parametri!$B$1*(1-Parametri!$B$2)+((Coefficienti!$B$4+Coefficienti!$B$5*L$22+Coefficienti!$B$6*$A29)+Coefficienti!$B$7)*(1-Parametri!$B$3))*(1+Parametri!$B$4)+Ferramenta!$D$14+Coefficienti!$B$8*Parametri!$B$5,2)</f>
        <v>569.48</v>
      </c>
      <c r="M29" s="4" t="n">
        <f aca="false">ROUND(((Coefficienti!$B$1+Coefficienti!$B$2*M$22+Coefficienti!$B$3*$A29)*Parametri!$B$1*(1-Parametri!$B$2)+((Coefficienti!$B$4+Coefficienti!$B$5*M$22+Coefficienti!$B$6*$A29)+Coefficienti!$B$7)*(1-Parametri!$B$3))*(1+Parametri!$B$4)+Ferramenta!$D$14+Coefficienti!$B$8*Parametri!$B$5,2)</f>
        <v>575.88</v>
      </c>
      <c r="N29" s="4" t="n">
        <f aca="false">ROUND(((Coefficienti!$B$1+Coefficienti!$B$2*N$22+Coefficienti!$B$3*$A29)*Parametri!$B$1*(1-Parametri!$B$2)+((Coefficienti!$B$4+Coefficienti!$B$5*N$22+Coefficienti!$B$6*$A29)+Coefficienti!$B$7)*(1-Parametri!$B$3))*(1+Parametri!$B$4)+Ferramenta!$D$14+Coefficienti!$B$8*Parametri!$B$5,2)</f>
        <v>582.28</v>
      </c>
    </row>
    <row r="30" customFormat="false" ht="15" hidden="false" customHeight="false" outlineLevel="0" collapsed="false">
      <c r="A30" s="2" t="n">
        <v>1200</v>
      </c>
      <c r="B30" s="4" t="n">
        <f aca="false">ROUND(((Coefficienti!$B$1+Coefficienti!$B$2*B$22+Coefficienti!$B$3*$A30)*Parametri!$B$1*(1-Parametri!$B$2)+((Coefficienti!$B$4+Coefficienti!$B$5*B$22+Coefficienti!$B$6*$A30)+Coefficienti!$B$7)*(1-Parametri!$B$3))*(1+Parametri!$B$4)+Ferramenta!$D$14+Coefficienti!$B$8*Parametri!$B$5,2)</f>
        <v>515.75</v>
      </c>
      <c r="C30" s="4" t="n">
        <f aca="false">ROUND(((Coefficienti!$B$1+Coefficienti!$B$2*C$22+Coefficienti!$B$3*$A30)*Parametri!$B$1*(1-Parametri!$B$2)+((Coefficienti!$B$4+Coefficienti!$B$5*C$22+Coefficienti!$B$6*$A30)+Coefficienti!$B$7)*(1-Parametri!$B$3))*(1+Parametri!$B$4)+Ferramenta!$D$14+Coefficienti!$B$8*Parametri!$B$5,2)</f>
        <v>522.15</v>
      </c>
      <c r="D30" s="4" t="n">
        <f aca="false">ROUND(((Coefficienti!$B$1+Coefficienti!$B$2*D$22+Coefficienti!$B$3*$A30)*Parametri!$B$1*(1-Parametri!$B$2)+((Coefficienti!$B$4+Coefficienti!$B$5*D$22+Coefficienti!$B$6*$A30)+Coefficienti!$B$7)*(1-Parametri!$B$3))*(1+Parametri!$B$4)+Ferramenta!$D$14+Coefficienti!$B$8*Parametri!$B$5,2)</f>
        <v>528.55</v>
      </c>
      <c r="E30" s="4" t="n">
        <f aca="false">ROUND(((Coefficienti!$B$1+Coefficienti!$B$2*E$22+Coefficienti!$B$3*$A30)*Parametri!$B$1*(1-Parametri!$B$2)+((Coefficienti!$B$4+Coefficienti!$B$5*E$22+Coefficienti!$B$6*$A30)+Coefficienti!$B$7)*(1-Parametri!$B$3))*(1+Parametri!$B$4)+Ferramenta!$D$14+Coefficienti!$B$8*Parametri!$B$5,2)</f>
        <v>534.95</v>
      </c>
      <c r="F30" s="4" t="n">
        <f aca="false">ROUND(((Coefficienti!$B$1+Coefficienti!$B$2*F$22+Coefficienti!$B$3*$A30)*Parametri!$B$1*(1-Parametri!$B$2)+((Coefficienti!$B$4+Coefficienti!$B$5*F$22+Coefficienti!$B$6*$A30)+Coefficienti!$B$7)*(1-Parametri!$B$3))*(1+Parametri!$B$4)+Ferramenta!$D$14+Coefficienti!$B$8*Parametri!$B$5,2)</f>
        <v>541.36</v>
      </c>
      <c r="G30" s="4" t="n">
        <f aca="false">ROUND(((Coefficienti!$B$1+Coefficienti!$B$2*G$22+Coefficienti!$B$3*$A30)*Parametri!$B$1*(1-Parametri!$B$2)+((Coefficienti!$B$4+Coefficienti!$B$5*G$22+Coefficienti!$B$6*$A30)+Coefficienti!$B$7)*(1-Parametri!$B$3))*(1+Parametri!$B$4)+Ferramenta!$D$14+Coefficienti!$B$8*Parametri!$B$5,2)</f>
        <v>547.76</v>
      </c>
      <c r="H30" s="4" t="n">
        <f aca="false">ROUND(((Coefficienti!$B$1+Coefficienti!$B$2*H$22+Coefficienti!$B$3*$A30)*Parametri!$B$1*(1-Parametri!$B$2)+((Coefficienti!$B$4+Coefficienti!$B$5*H$22+Coefficienti!$B$6*$A30)+Coefficienti!$B$7)*(1-Parametri!$B$3))*(1+Parametri!$B$4)+Ferramenta!$D$14+Coefficienti!$B$8*Parametri!$B$5,2)</f>
        <v>554.16</v>
      </c>
      <c r="I30" s="4" t="n">
        <f aca="false">ROUND(((Coefficienti!$B$1+Coefficienti!$B$2*I$22+Coefficienti!$B$3*$A30)*Parametri!$B$1*(1-Parametri!$B$2)+((Coefficienti!$B$4+Coefficienti!$B$5*I$22+Coefficienti!$B$6*$A30)+Coefficienti!$B$7)*(1-Parametri!$B$3))*(1+Parametri!$B$4)+Ferramenta!$D$14+Coefficienti!$B$8*Parametri!$B$5,2)</f>
        <v>560.56</v>
      </c>
      <c r="J30" s="4" t="n">
        <f aca="false">ROUND(((Coefficienti!$B$1+Coefficienti!$B$2*J$22+Coefficienti!$B$3*$A30)*Parametri!$B$1*(1-Parametri!$B$2)+((Coefficienti!$B$4+Coefficienti!$B$5*J$22+Coefficienti!$B$6*$A30)+Coefficienti!$B$7)*(1-Parametri!$B$3))*(1+Parametri!$B$4)+Ferramenta!$D$14+Coefficienti!$B$8*Parametri!$B$5,2)</f>
        <v>566.96</v>
      </c>
      <c r="K30" s="4" t="n">
        <f aca="false">ROUND(((Coefficienti!$B$1+Coefficienti!$B$2*K$22+Coefficienti!$B$3*$A30)*Parametri!$B$1*(1-Parametri!$B$2)+((Coefficienti!$B$4+Coefficienti!$B$5*K$22+Coefficienti!$B$6*$A30)+Coefficienti!$B$7)*(1-Parametri!$B$3))*(1+Parametri!$B$4)+Ferramenta!$D$14+Coefficienti!$B$8*Parametri!$B$5,2)</f>
        <v>573.36</v>
      </c>
      <c r="L30" s="4" t="n">
        <f aca="false">ROUND(((Coefficienti!$B$1+Coefficienti!$B$2*L$22+Coefficienti!$B$3*$A30)*Parametri!$B$1*(1-Parametri!$B$2)+((Coefficienti!$B$4+Coefficienti!$B$5*L$22+Coefficienti!$B$6*$A30)+Coefficienti!$B$7)*(1-Parametri!$B$3))*(1+Parametri!$B$4)+Ferramenta!$D$14+Coefficienti!$B$8*Parametri!$B$5,2)</f>
        <v>579.77</v>
      </c>
      <c r="M30" s="4" t="n">
        <f aca="false">ROUND(((Coefficienti!$B$1+Coefficienti!$B$2*M$22+Coefficienti!$B$3*$A30)*Parametri!$B$1*(1-Parametri!$B$2)+((Coefficienti!$B$4+Coefficienti!$B$5*M$22+Coefficienti!$B$6*$A30)+Coefficienti!$B$7)*(1-Parametri!$B$3))*(1+Parametri!$B$4)+Ferramenta!$D$14+Coefficienti!$B$8*Parametri!$B$5,2)</f>
        <v>586.17</v>
      </c>
      <c r="N30" s="4" t="n">
        <f aca="false">ROUND(((Coefficienti!$B$1+Coefficienti!$B$2*N$22+Coefficienti!$B$3*$A30)*Parametri!$B$1*(1-Parametri!$B$2)+((Coefficienti!$B$4+Coefficienti!$B$5*N$22+Coefficienti!$B$6*$A30)+Coefficienti!$B$7)*(1-Parametri!$B$3))*(1+Parametri!$B$4)+Ferramenta!$D$14+Coefficienti!$B$8*Parametri!$B$5,2)</f>
        <v>592.57</v>
      </c>
    </row>
    <row r="31" customFormat="false" ht="15" hidden="false" customHeight="false" outlineLevel="0" collapsed="false">
      <c r="A31" s="2" t="n">
        <v>1300</v>
      </c>
      <c r="B31" s="4" t="n">
        <f aca="false">ROUND(((Coefficienti!$B$1+Coefficienti!$B$2*B$22+Coefficienti!$B$3*$A31)*Parametri!$B$1*(1-Parametri!$B$2)+((Coefficienti!$B$4+Coefficienti!$B$5*B$22+Coefficienti!$B$6*$A31)+Coefficienti!$B$7)*(1-Parametri!$B$3))*(1+Parametri!$B$4)+Ferramenta!$D$14+Coefficienti!$B$8*Parametri!$B$5,2)</f>
        <v>526.03</v>
      </c>
      <c r="C31" s="4" t="n">
        <f aca="false">ROUND(((Coefficienti!$B$1+Coefficienti!$B$2*C$22+Coefficienti!$B$3*$A31)*Parametri!$B$1*(1-Parametri!$B$2)+((Coefficienti!$B$4+Coefficienti!$B$5*C$22+Coefficienti!$B$6*$A31)+Coefficienti!$B$7)*(1-Parametri!$B$3))*(1+Parametri!$B$4)+Ferramenta!$D$14+Coefficienti!$B$8*Parametri!$B$5,2)</f>
        <v>532.44</v>
      </c>
      <c r="D31" s="4" t="n">
        <f aca="false">ROUND(((Coefficienti!$B$1+Coefficienti!$B$2*D$22+Coefficienti!$B$3*$A31)*Parametri!$B$1*(1-Parametri!$B$2)+((Coefficienti!$B$4+Coefficienti!$B$5*D$22+Coefficienti!$B$6*$A31)+Coefficienti!$B$7)*(1-Parametri!$B$3))*(1+Parametri!$B$4)+Ferramenta!$D$14+Coefficienti!$B$8*Parametri!$B$5,2)</f>
        <v>538.84</v>
      </c>
      <c r="E31" s="4" t="n">
        <f aca="false">ROUND(((Coefficienti!$B$1+Coefficienti!$B$2*E$22+Coefficienti!$B$3*$A31)*Parametri!$B$1*(1-Parametri!$B$2)+((Coefficienti!$B$4+Coefficienti!$B$5*E$22+Coefficienti!$B$6*$A31)+Coefficienti!$B$7)*(1-Parametri!$B$3))*(1+Parametri!$B$4)+Ferramenta!$D$14+Coefficienti!$B$8*Parametri!$B$5,2)</f>
        <v>545.24</v>
      </c>
      <c r="F31" s="4" t="n">
        <f aca="false">ROUND(((Coefficienti!$B$1+Coefficienti!$B$2*F$22+Coefficienti!$B$3*$A31)*Parametri!$B$1*(1-Parametri!$B$2)+((Coefficienti!$B$4+Coefficienti!$B$5*F$22+Coefficienti!$B$6*$A31)+Coefficienti!$B$7)*(1-Parametri!$B$3))*(1+Parametri!$B$4)+Ferramenta!$D$14+Coefficienti!$B$8*Parametri!$B$5,2)</f>
        <v>551.64</v>
      </c>
      <c r="G31" s="4" t="n">
        <f aca="false">ROUND(((Coefficienti!$B$1+Coefficienti!$B$2*G$22+Coefficienti!$B$3*$A31)*Parametri!$B$1*(1-Parametri!$B$2)+((Coefficienti!$B$4+Coefficienti!$B$5*G$22+Coefficienti!$B$6*$A31)+Coefficienti!$B$7)*(1-Parametri!$B$3))*(1+Parametri!$B$4)+Ferramenta!$D$14+Coefficienti!$B$8*Parametri!$B$5,2)</f>
        <v>558.04</v>
      </c>
      <c r="H31" s="4" t="n">
        <f aca="false">ROUND(((Coefficienti!$B$1+Coefficienti!$B$2*H$22+Coefficienti!$B$3*$A31)*Parametri!$B$1*(1-Parametri!$B$2)+((Coefficienti!$B$4+Coefficienti!$B$5*H$22+Coefficienti!$B$6*$A31)+Coefficienti!$B$7)*(1-Parametri!$B$3))*(1+Parametri!$B$4)+Ferramenta!$D$14+Coefficienti!$B$8*Parametri!$B$5,2)</f>
        <v>564.44</v>
      </c>
      <c r="I31" s="4" t="n">
        <f aca="false">ROUND(((Coefficienti!$B$1+Coefficienti!$B$2*I$22+Coefficienti!$B$3*$A31)*Parametri!$B$1*(1-Parametri!$B$2)+((Coefficienti!$B$4+Coefficienti!$B$5*I$22+Coefficienti!$B$6*$A31)+Coefficienti!$B$7)*(1-Parametri!$B$3))*(1+Parametri!$B$4)+Ferramenta!$D$14+Coefficienti!$B$8*Parametri!$B$5,2)</f>
        <v>570.84</v>
      </c>
      <c r="J31" s="4" t="n">
        <f aca="false">ROUND(((Coefficienti!$B$1+Coefficienti!$B$2*J$22+Coefficienti!$B$3*$A31)*Parametri!$B$1*(1-Parametri!$B$2)+((Coefficienti!$B$4+Coefficienti!$B$5*J$22+Coefficienti!$B$6*$A31)+Coefficienti!$B$7)*(1-Parametri!$B$3))*(1+Parametri!$B$4)+Ferramenta!$D$14+Coefficienti!$B$8*Parametri!$B$5,2)</f>
        <v>577.25</v>
      </c>
      <c r="K31" s="4" t="n">
        <f aca="false">ROUND(((Coefficienti!$B$1+Coefficienti!$B$2*K$22+Coefficienti!$B$3*$A31)*Parametri!$B$1*(1-Parametri!$B$2)+((Coefficienti!$B$4+Coefficienti!$B$5*K$22+Coefficienti!$B$6*$A31)+Coefficienti!$B$7)*(1-Parametri!$B$3))*(1+Parametri!$B$4)+Ferramenta!$D$14+Coefficienti!$B$8*Parametri!$B$5,2)</f>
        <v>583.65</v>
      </c>
      <c r="L31" s="4" t="n">
        <f aca="false">ROUND(((Coefficienti!$B$1+Coefficienti!$B$2*L$22+Coefficienti!$B$3*$A31)*Parametri!$B$1*(1-Parametri!$B$2)+((Coefficienti!$B$4+Coefficienti!$B$5*L$22+Coefficienti!$B$6*$A31)+Coefficienti!$B$7)*(1-Parametri!$B$3))*(1+Parametri!$B$4)+Ferramenta!$D$14+Coefficienti!$B$8*Parametri!$B$5,2)</f>
        <v>590.05</v>
      </c>
      <c r="M31" s="4" t="n">
        <f aca="false">ROUND(((Coefficienti!$B$1+Coefficienti!$B$2*M$22+Coefficienti!$B$3*$A31)*Parametri!$B$1*(1-Parametri!$B$2)+((Coefficienti!$B$4+Coefficienti!$B$5*M$22+Coefficienti!$B$6*$A31)+Coefficienti!$B$7)*(1-Parametri!$B$3))*(1+Parametri!$B$4)+Ferramenta!$D$14+Coefficienti!$B$8*Parametri!$B$5,2)</f>
        <v>596.45</v>
      </c>
      <c r="N31" s="4" t="n">
        <f aca="false">ROUND(((Coefficienti!$B$1+Coefficienti!$B$2*N$22+Coefficienti!$B$3*$A31)*Parametri!$B$1*(1-Parametri!$B$2)+((Coefficienti!$B$4+Coefficienti!$B$5*N$22+Coefficienti!$B$6*$A31)+Coefficienti!$B$7)*(1-Parametri!$B$3))*(1+Parametri!$B$4)+Ferramenta!$D$14+Coefficienti!$B$8*Parametri!$B$5,2)</f>
        <v>602.85</v>
      </c>
    </row>
    <row r="32" customFormat="false" ht="15" hidden="false" customHeight="false" outlineLevel="0" collapsed="false">
      <c r="A32" s="2" t="n">
        <v>1400</v>
      </c>
      <c r="B32" s="4" t="n">
        <f aca="false">ROUND(((Coefficienti!$B$1+Coefficienti!$B$2*B$22+Coefficienti!$B$3*$A32)*Parametri!$B$1*(1-Parametri!$B$2)+((Coefficienti!$B$4+Coefficienti!$B$5*B$22+Coefficienti!$B$6*$A32)+Coefficienti!$B$7)*(1-Parametri!$B$3))*(1+Parametri!$B$4)+Ferramenta!$D$14+Coefficienti!$B$8*Parametri!$B$5,2)</f>
        <v>536.32</v>
      </c>
      <c r="C32" s="4" t="n">
        <f aca="false">ROUND(((Coefficienti!$B$1+Coefficienti!$B$2*C$22+Coefficienti!$B$3*$A32)*Parametri!$B$1*(1-Parametri!$B$2)+((Coefficienti!$B$4+Coefficienti!$B$5*C$22+Coefficienti!$B$6*$A32)+Coefficienti!$B$7)*(1-Parametri!$B$3))*(1+Parametri!$B$4)+Ferramenta!$D$14+Coefficienti!$B$8*Parametri!$B$5,2)</f>
        <v>542.72</v>
      </c>
      <c r="D32" s="4" t="n">
        <f aca="false">ROUND(((Coefficienti!$B$1+Coefficienti!$B$2*D$22+Coefficienti!$B$3*$A32)*Parametri!$B$1*(1-Parametri!$B$2)+((Coefficienti!$B$4+Coefficienti!$B$5*D$22+Coefficienti!$B$6*$A32)+Coefficienti!$B$7)*(1-Parametri!$B$3))*(1+Parametri!$B$4)+Ferramenta!$D$14+Coefficienti!$B$8*Parametri!$B$5,2)</f>
        <v>549.12</v>
      </c>
      <c r="E32" s="4" t="n">
        <f aca="false">ROUND(((Coefficienti!$B$1+Coefficienti!$B$2*E$22+Coefficienti!$B$3*$A32)*Parametri!$B$1*(1-Parametri!$B$2)+((Coefficienti!$B$4+Coefficienti!$B$5*E$22+Coefficienti!$B$6*$A32)+Coefficienti!$B$7)*(1-Parametri!$B$3))*(1+Parametri!$B$4)+Ferramenta!$D$14+Coefficienti!$B$8*Parametri!$B$5,2)</f>
        <v>555.52</v>
      </c>
      <c r="F32" s="4" t="n">
        <f aca="false">ROUND(((Coefficienti!$B$1+Coefficienti!$B$2*F$22+Coefficienti!$B$3*$A32)*Parametri!$B$1*(1-Parametri!$B$2)+((Coefficienti!$B$4+Coefficienti!$B$5*F$22+Coefficienti!$B$6*$A32)+Coefficienti!$B$7)*(1-Parametri!$B$3))*(1+Parametri!$B$4)+Ferramenta!$D$14+Coefficienti!$B$8*Parametri!$B$5,2)</f>
        <v>561.92</v>
      </c>
      <c r="G32" s="4" t="n">
        <f aca="false">ROUND(((Coefficienti!$B$1+Coefficienti!$B$2*G$22+Coefficienti!$B$3*$A32)*Parametri!$B$1*(1-Parametri!$B$2)+((Coefficienti!$B$4+Coefficienti!$B$5*G$22+Coefficienti!$B$6*$A32)+Coefficienti!$B$7)*(1-Parametri!$B$3))*(1+Parametri!$B$4)+Ferramenta!$D$14+Coefficienti!$B$8*Parametri!$B$5,2)</f>
        <v>568.33</v>
      </c>
      <c r="H32" s="4" t="n">
        <f aca="false">ROUND(((Coefficienti!$B$1+Coefficienti!$B$2*H$22+Coefficienti!$B$3*$A32)*Parametri!$B$1*(1-Parametri!$B$2)+((Coefficienti!$B$4+Coefficienti!$B$5*H$22+Coefficienti!$B$6*$A32)+Coefficienti!$B$7)*(1-Parametri!$B$3))*(1+Parametri!$B$4)+Ferramenta!$D$14+Coefficienti!$B$8*Parametri!$B$5,2)</f>
        <v>574.73</v>
      </c>
      <c r="I32" s="4" t="n">
        <f aca="false">ROUND(((Coefficienti!$B$1+Coefficienti!$B$2*I$22+Coefficienti!$B$3*$A32)*Parametri!$B$1*(1-Parametri!$B$2)+((Coefficienti!$B$4+Coefficienti!$B$5*I$22+Coefficienti!$B$6*$A32)+Coefficienti!$B$7)*(1-Parametri!$B$3))*(1+Parametri!$B$4)+Ferramenta!$D$14+Coefficienti!$B$8*Parametri!$B$5,2)</f>
        <v>581.13</v>
      </c>
      <c r="J32" s="4" t="n">
        <f aca="false">ROUND(((Coefficienti!$B$1+Coefficienti!$B$2*J$22+Coefficienti!$B$3*$A32)*Parametri!$B$1*(1-Parametri!$B$2)+((Coefficienti!$B$4+Coefficienti!$B$5*J$22+Coefficienti!$B$6*$A32)+Coefficienti!$B$7)*(1-Parametri!$B$3))*(1+Parametri!$B$4)+Ferramenta!$D$14+Coefficienti!$B$8*Parametri!$B$5,2)</f>
        <v>587.53</v>
      </c>
      <c r="K32" s="4" t="n">
        <f aca="false">ROUND(((Coefficienti!$B$1+Coefficienti!$B$2*K$22+Coefficienti!$B$3*$A32)*Parametri!$B$1*(1-Parametri!$B$2)+((Coefficienti!$B$4+Coefficienti!$B$5*K$22+Coefficienti!$B$6*$A32)+Coefficienti!$B$7)*(1-Parametri!$B$3))*(1+Parametri!$B$4)+Ferramenta!$D$14+Coefficienti!$B$8*Parametri!$B$5,2)</f>
        <v>593.93</v>
      </c>
      <c r="L32" s="4" t="n">
        <f aca="false">ROUND(((Coefficienti!$B$1+Coefficienti!$B$2*L$22+Coefficienti!$B$3*$A32)*Parametri!$B$1*(1-Parametri!$B$2)+((Coefficienti!$B$4+Coefficienti!$B$5*L$22+Coefficienti!$B$6*$A32)+Coefficienti!$B$7)*(1-Parametri!$B$3))*(1+Parametri!$B$4)+Ferramenta!$D$14+Coefficienti!$B$8*Parametri!$B$5,2)</f>
        <v>600.33</v>
      </c>
      <c r="M32" s="4" t="n">
        <f aca="false">ROUND(((Coefficienti!$B$1+Coefficienti!$B$2*M$22+Coefficienti!$B$3*$A32)*Parametri!$B$1*(1-Parametri!$B$2)+((Coefficienti!$B$4+Coefficienti!$B$5*M$22+Coefficienti!$B$6*$A32)+Coefficienti!$B$7)*(1-Parametri!$B$3))*(1+Parametri!$B$4)+Ferramenta!$D$14+Coefficienti!$B$8*Parametri!$B$5,2)</f>
        <v>606.73</v>
      </c>
      <c r="N32" s="4" t="n">
        <f aca="false">ROUND(((Coefficienti!$B$1+Coefficienti!$B$2*N$22+Coefficienti!$B$3*$A32)*Parametri!$B$1*(1-Parametri!$B$2)+((Coefficienti!$B$4+Coefficienti!$B$5*N$22+Coefficienti!$B$6*$A32)+Coefficienti!$B$7)*(1-Parametri!$B$3))*(1+Parametri!$B$4)+Ferramenta!$D$14+Coefficienti!$B$8*Parametri!$B$5,2)</f>
        <v>613.14</v>
      </c>
    </row>
    <row r="33" customFormat="false" ht="15" hidden="false" customHeight="false" outlineLevel="0" collapsed="false">
      <c r="A33" s="2" t="n">
        <v>1500</v>
      </c>
      <c r="B33" s="4" t="n">
        <f aca="false">ROUND(((Coefficienti!$B$1+Coefficienti!$B$2*B$22+Coefficienti!$B$3*$A33)*Parametri!$B$1*(1-Parametri!$B$2)+((Coefficienti!$B$4+Coefficienti!$B$5*B$22+Coefficienti!$B$6*$A33)+Coefficienti!$B$7)*(1-Parametri!$B$3))*(1+Parametri!$B$4)+Ferramenta!$D$14+Coefficienti!$B$8*Parametri!$B$5,2)</f>
        <v>546.6</v>
      </c>
      <c r="C33" s="4" t="n">
        <f aca="false">ROUND(((Coefficienti!$B$1+Coefficienti!$B$2*C$22+Coefficienti!$B$3*$A33)*Parametri!$B$1*(1-Parametri!$B$2)+((Coefficienti!$B$4+Coefficienti!$B$5*C$22+Coefficienti!$B$6*$A33)+Coefficienti!$B$7)*(1-Parametri!$B$3))*(1+Parametri!$B$4)+Ferramenta!$D$14+Coefficienti!$B$8*Parametri!$B$5,2)</f>
        <v>553</v>
      </c>
      <c r="D33" s="4" t="n">
        <f aca="false">ROUND(((Coefficienti!$B$1+Coefficienti!$B$2*D$22+Coefficienti!$B$3*$A33)*Parametri!$B$1*(1-Parametri!$B$2)+((Coefficienti!$B$4+Coefficienti!$B$5*D$22+Coefficienti!$B$6*$A33)+Coefficienti!$B$7)*(1-Parametri!$B$3))*(1+Parametri!$B$4)+Ferramenta!$D$14+Coefficienti!$B$8*Parametri!$B$5,2)</f>
        <v>559.41</v>
      </c>
      <c r="E33" s="4" t="n">
        <f aca="false">ROUND(((Coefficienti!$B$1+Coefficienti!$B$2*E$22+Coefficienti!$B$3*$A33)*Parametri!$B$1*(1-Parametri!$B$2)+((Coefficienti!$B$4+Coefficienti!$B$5*E$22+Coefficienti!$B$6*$A33)+Coefficienti!$B$7)*(1-Parametri!$B$3))*(1+Parametri!$B$4)+Ferramenta!$D$14+Coefficienti!$B$8*Parametri!$B$5,2)</f>
        <v>565.81</v>
      </c>
      <c r="F33" s="4" t="n">
        <f aca="false">ROUND(((Coefficienti!$B$1+Coefficienti!$B$2*F$22+Coefficienti!$B$3*$A33)*Parametri!$B$1*(1-Parametri!$B$2)+((Coefficienti!$B$4+Coefficienti!$B$5*F$22+Coefficienti!$B$6*$A33)+Coefficienti!$B$7)*(1-Parametri!$B$3))*(1+Parametri!$B$4)+Ferramenta!$D$14+Coefficienti!$B$8*Parametri!$B$5,2)</f>
        <v>572.21</v>
      </c>
      <c r="G33" s="4" t="n">
        <f aca="false">ROUND(((Coefficienti!$B$1+Coefficienti!$B$2*G$22+Coefficienti!$B$3*$A33)*Parametri!$B$1*(1-Parametri!$B$2)+((Coefficienti!$B$4+Coefficienti!$B$5*G$22+Coefficienti!$B$6*$A33)+Coefficienti!$B$7)*(1-Parametri!$B$3))*(1+Parametri!$B$4)+Ferramenta!$D$14+Coefficienti!$B$8*Parametri!$B$5,2)</f>
        <v>578.61</v>
      </c>
      <c r="H33" s="4" t="n">
        <f aca="false">ROUND(((Coefficienti!$B$1+Coefficienti!$B$2*H$22+Coefficienti!$B$3*$A33)*Parametri!$B$1*(1-Parametri!$B$2)+((Coefficienti!$B$4+Coefficienti!$B$5*H$22+Coefficienti!$B$6*$A33)+Coefficienti!$B$7)*(1-Parametri!$B$3))*(1+Parametri!$B$4)+Ferramenta!$D$14+Coefficienti!$B$8*Parametri!$B$5,2)</f>
        <v>585.01</v>
      </c>
      <c r="I33" s="4" t="n">
        <f aca="false">ROUND(((Coefficienti!$B$1+Coefficienti!$B$2*I$22+Coefficienti!$B$3*$A33)*Parametri!$B$1*(1-Parametri!$B$2)+((Coefficienti!$B$4+Coefficienti!$B$5*I$22+Coefficienti!$B$6*$A33)+Coefficienti!$B$7)*(1-Parametri!$B$3))*(1+Parametri!$B$4)+Ferramenta!$D$14+Coefficienti!$B$8*Parametri!$B$5,2)</f>
        <v>591.41</v>
      </c>
      <c r="J33" s="4" t="n">
        <f aca="false">ROUND(((Coefficienti!$B$1+Coefficienti!$B$2*J$22+Coefficienti!$B$3*$A33)*Parametri!$B$1*(1-Parametri!$B$2)+((Coefficienti!$B$4+Coefficienti!$B$5*J$22+Coefficienti!$B$6*$A33)+Coefficienti!$B$7)*(1-Parametri!$B$3))*(1+Parametri!$B$4)+Ferramenta!$D$14+Coefficienti!$B$8*Parametri!$B$5,2)</f>
        <v>597.81</v>
      </c>
      <c r="K33" s="4" t="n">
        <f aca="false">ROUND(((Coefficienti!$B$1+Coefficienti!$B$2*K$22+Coefficienti!$B$3*$A33)*Parametri!$B$1*(1-Parametri!$B$2)+((Coefficienti!$B$4+Coefficienti!$B$5*K$22+Coefficienti!$B$6*$A33)+Coefficienti!$B$7)*(1-Parametri!$B$3))*(1+Parametri!$B$4)+Ferramenta!$D$14+Coefficienti!$B$8*Parametri!$B$5,2)</f>
        <v>604.22</v>
      </c>
      <c r="L33" s="4" t="n">
        <f aca="false">ROUND(((Coefficienti!$B$1+Coefficienti!$B$2*L$22+Coefficienti!$B$3*$A33)*Parametri!$B$1*(1-Parametri!$B$2)+((Coefficienti!$B$4+Coefficienti!$B$5*L$22+Coefficienti!$B$6*$A33)+Coefficienti!$B$7)*(1-Parametri!$B$3))*(1+Parametri!$B$4)+Ferramenta!$D$14+Coefficienti!$B$8*Parametri!$B$5,2)</f>
        <v>610.62</v>
      </c>
      <c r="M33" s="4" t="n">
        <f aca="false">ROUND(((Coefficienti!$B$1+Coefficienti!$B$2*M$22+Coefficienti!$B$3*$A33)*Parametri!$B$1*(1-Parametri!$B$2)+((Coefficienti!$B$4+Coefficienti!$B$5*M$22+Coefficienti!$B$6*$A33)+Coefficienti!$B$7)*(1-Parametri!$B$3))*(1+Parametri!$B$4)+Ferramenta!$D$14+Coefficienti!$B$8*Parametri!$B$5,2)</f>
        <v>617.02</v>
      </c>
      <c r="N33" s="4" t="n">
        <f aca="false">ROUND(((Coefficienti!$B$1+Coefficienti!$B$2*N$22+Coefficienti!$B$3*$A33)*Parametri!$B$1*(1-Parametri!$B$2)+((Coefficienti!$B$4+Coefficienti!$B$5*N$22+Coefficienti!$B$6*$A33)+Coefficienti!$B$7)*(1-Parametri!$B$3))*(1+Parametri!$B$4)+Ferramenta!$D$14+Coefficienti!$B$8*Parametri!$B$5,2)</f>
        <v>623.42</v>
      </c>
    </row>
    <row r="34" customFormat="false" ht="15" hidden="false" customHeight="false" outlineLevel="0" collapsed="false">
      <c r="A34" s="2" t="n">
        <v>1600</v>
      </c>
      <c r="B34" s="4" t="n">
        <f aca="false">ROUND(((Coefficienti!$B$1+Coefficienti!$B$2*B$22+Coefficienti!$B$3*$A34)*Parametri!$B$1*(1-Parametri!$B$2)+((Coefficienti!$B$4+Coefficienti!$B$5*B$22+Coefficienti!$B$6*$A34)+Coefficienti!$B$7)*(1-Parametri!$B$3))*(1+Parametri!$B$4)+Ferramenta!$D$14+Coefficienti!$B$8*Parametri!$B$5,2)</f>
        <v>556.89</v>
      </c>
      <c r="C34" s="4" t="n">
        <f aca="false">ROUND(((Coefficienti!$B$1+Coefficienti!$B$2*C$22+Coefficienti!$B$3*$A34)*Parametri!$B$1*(1-Parametri!$B$2)+((Coefficienti!$B$4+Coefficienti!$B$5*C$22+Coefficienti!$B$6*$A34)+Coefficienti!$B$7)*(1-Parametri!$B$3))*(1+Parametri!$B$4)+Ferramenta!$D$14+Coefficienti!$B$8*Parametri!$B$5,2)</f>
        <v>563.29</v>
      </c>
      <c r="D34" s="4" t="n">
        <f aca="false">ROUND(((Coefficienti!$B$1+Coefficienti!$B$2*D$22+Coefficienti!$B$3*$A34)*Parametri!$B$1*(1-Parametri!$B$2)+((Coefficienti!$B$4+Coefficienti!$B$5*D$22+Coefficienti!$B$6*$A34)+Coefficienti!$B$7)*(1-Parametri!$B$3))*(1+Parametri!$B$4)+Ferramenta!$D$14+Coefficienti!$B$8*Parametri!$B$5,2)</f>
        <v>569.69</v>
      </c>
      <c r="E34" s="4" t="n">
        <f aca="false">ROUND(((Coefficienti!$B$1+Coefficienti!$B$2*E$22+Coefficienti!$B$3*$A34)*Parametri!$B$1*(1-Parametri!$B$2)+((Coefficienti!$B$4+Coefficienti!$B$5*E$22+Coefficienti!$B$6*$A34)+Coefficienti!$B$7)*(1-Parametri!$B$3))*(1+Parametri!$B$4)+Ferramenta!$D$14+Coefficienti!$B$8*Parametri!$B$5,2)</f>
        <v>576.09</v>
      </c>
      <c r="F34" s="4" t="n">
        <f aca="false">ROUND(((Coefficienti!$B$1+Coefficienti!$B$2*F$22+Coefficienti!$B$3*$A34)*Parametri!$B$1*(1-Parametri!$B$2)+((Coefficienti!$B$4+Coefficienti!$B$5*F$22+Coefficienti!$B$6*$A34)+Coefficienti!$B$7)*(1-Parametri!$B$3))*(1+Parametri!$B$4)+Ferramenta!$D$14+Coefficienti!$B$8*Parametri!$B$5,2)</f>
        <v>582.49</v>
      </c>
      <c r="G34" s="4" t="n">
        <f aca="false">ROUND(((Coefficienti!$B$1+Coefficienti!$B$2*G$22+Coefficienti!$B$3*$A34)*Parametri!$B$1*(1-Parametri!$B$2)+((Coefficienti!$B$4+Coefficienti!$B$5*G$22+Coefficienti!$B$6*$A34)+Coefficienti!$B$7)*(1-Parametri!$B$3))*(1+Parametri!$B$4)+Ferramenta!$D$14+Coefficienti!$B$8*Parametri!$B$5,2)</f>
        <v>588.89</v>
      </c>
      <c r="H34" s="4" t="n">
        <f aca="false">ROUND(((Coefficienti!$B$1+Coefficienti!$B$2*H$22+Coefficienti!$B$3*$A34)*Parametri!$B$1*(1-Parametri!$B$2)+((Coefficienti!$B$4+Coefficienti!$B$5*H$22+Coefficienti!$B$6*$A34)+Coefficienti!$B$7)*(1-Parametri!$B$3))*(1+Parametri!$B$4)+Ferramenta!$D$14+Coefficienti!$B$8*Parametri!$B$5,2)</f>
        <v>595.3</v>
      </c>
      <c r="I34" s="4" t="n">
        <f aca="false">ROUND(((Coefficienti!$B$1+Coefficienti!$B$2*I$22+Coefficienti!$B$3*$A34)*Parametri!$B$1*(1-Parametri!$B$2)+((Coefficienti!$B$4+Coefficienti!$B$5*I$22+Coefficienti!$B$6*$A34)+Coefficienti!$B$7)*(1-Parametri!$B$3))*(1+Parametri!$B$4)+Ferramenta!$D$14+Coefficienti!$B$8*Parametri!$B$5,2)</f>
        <v>601.7</v>
      </c>
      <c r="J34" s="4" t="n">
        <f aca="false">ROUND(((Coefficienti!$B$1+Coefficienti!$B$2*J$22+Coefficienti!$B$3*$A34)*Parametri!$B$1*(1-Parametri!$B$2)+((Coefficienti!$B$4+Coefficienti!$B$5*J$22+Coefficienti!$B$6*$A34)+Coefficienti!$B$7)*(1-Parametri!$B$3))*(1+Parametri!$B$4)+Ferramenta!$D$14+Coefficienti!$B$8*Parametri!$B$5,2)</f>
        <v>608.1</v>
      </c>
      <c r="K34" s="4" t="n">
        <f aca="false">ROUND(((Coefficienti!$B$1+Coefficienti!$B$2*K$22+Coefficienti!$B$3*$A34)*Parametri!$B$1*(1-Parametri!$B$2)+((Coefficienti!$B$4+Coefficienti!$B$5*K$22+Coefficienti!$B$6*$A34)+Coefficienti!$B$7)*(1-Parametri!$B$3))*(1+Parametri!$B$4)+Ferramenta!$D$14+Coefficienti!$B$8*Parametri!$B$5,2)</f>
        <v>614.5</v>
      </c>
      <c r="L34" s="4" t="n">
        <f aca="false">ROUND(((Coefficienti!$B$1+Coefficienti!$B$2*L$22+Coefficienti!$B$3*$A34)*Parametri!$B$1*(1-Parametri!$B$2)+((Coefficienti!$B$4+Coefficienti!$B$5*L$22+Coefficienti!$B$6*$A34)+Coefficienti!$B$7)*(1-Parametri!$B$3))*(1+Parametri!$B$4)+Ferramenta!$D$14+Coefficienti!$B$8*Parametri!$B$5,2)</f>
        <v>620.9</v>
      </c>
      <c r="M34" s="4" t="n">
        <f aca="false">ROUND(((Coefficienti!$B$1+Coefficienti!$B$2*M$22+Coefficienti!$B$3*$A34)*Parametri!$B$1*(1-Parametri!$B$2)+((Coefficienti!$B$4+Coefficienti!$B$5*M$22+Coefficienti!$B$6*$A34)+Coefficienti!$B$7)*(1-Parametri!$B$3))*(1+Parametri!$B$4)+Ferramenta!$D$14+Coefficienti!$B$8*Parametri!$B$5,2)</f>
        <v>627.3</v>
      </c>
      <c r="N34" s="4" t="n">
        <f aca="false">ROUND(((Coefficienti!$B$1+Coefficienti!$B$2*N$22+Coefficienti!$B$3*$A34)*Parametri!$B$1*(1-Parametri!$B$2)+((Coefficienti!$B$4+Coefficienti!$B$5*N$22+Coefficienti!$B$6*$A34)+Coefficienti!$B$7)*(1-Parametri!$B$3))*(1+Parametri!$B$4)+Ferramenta!$D$14+Coefficienti!$B$8*Parametri!$B$5,2)</f>
        <v>633.7</v>
      </c>
    </row>
    <row r="35" customFormat="false" ht="15" hidden="false" customHeight="false" outlineLevel="0" collapsed="false">
      <c r="A35" s="2" t="n">
        <v>1700</v>
      </c>
      <c r="B35" s="4" t="n">
        <f aca="false">ROUND(((Coefficienti!$B$1+Coefficienti!$B$2*B$22+Coefficienti!$B$3*$A35)*Parametri!$B$1*(1-Parametri!$B$2)+((Coefficienti!$B$4+Coefficienti!$B$5*B$22+Coefficienti!$B$6*$A35)+Coefficienti!$B$7)*(1-Parametri!$B$3))*(1+Parametri!$B$4)+Ferramenta!$D$14+Coefficienti!$B$8*Parametri!$B$5,2)</f>
        <v>567.17</v>
      </c>
      <c r="C35" s="4" t="n">
        <f aca="false">ROUND(((Coefficienti!$B$1+Coefficienti!$B$2*C$22+Coefficienti!$B$3*$A35)*Parametri!$B$1*(1-Parametri!$B$2)+((Coefficienti!$B$4+Coefficienti!$B$5*C$22+Coefficienti!$B$6*$A35)+Coefficienti!$B$7)*(1-Parametri!$B$3))*(1+Parametri!$B$4)+Ferramenta!$D$14+Coefficienti!$B$8*Parametri!$B$5,2)</f>
        <v>573.57</v>
      </c>
      <c r="D35" s="4" t="n">
        <f aca="false">ROUND(((Coefficienti!$B$1+Coefficienti!$B$2*D$22+Coefficienti!$B$3*$A35)*Parametri!$B$1*(1-Parametri!$B$2)+((Coefficienti!$B$4+Coefficienti!$B$5*D$22+Coefficienti!$B$6*$A35)+Coefficienti!$B$7)*(1-Parametri!$B$3))*(1+Parametri!$B$4)+Ferramenta!$D$14+Coefficienti!$B$8*Parametri!$B$5,2)</f>
        <v>579.97</v>
      </c>
      <c r="E35" s="4" t="n">
        <f aca="false">ROUND(((Coefficienti!$B$1+Coefficienti!$B$2*E$22+Coefficienti!$B$3*$A35)*Parametri!$B$1*(1-Parametri!$B$2)+((Coefficienti!$B$4+Coefficienti!$B$5*E$22+Coefficienti!$B$6*$A35)+Coefficienti!$B$7)*(1-Parametri!$B$3))*(1+Parametri!$B$4)+Ferramenta!$D$14+Coefficienti!$B$8*Parametri!$B$5,2)</f>
        <v>586.38</v>
      </c>
      <c r="F35" s="4" t="n">
        <f aca="false">ROUND(((Coefficienti!$B$1+Coefficienti!$B$2*F$22+Coefficienti!$B$3*$A35)*Parametri!$B$1*(1-Parametri!$B$2)+((Coefficienti!$B$4+Coefficienti!$B$5*F$22+Coefficienti!$B$6*$A35)+Coefficienti!$B$7)*(1-Parametri!$B$3))*(1+Parametri!$B$4)+Ferramenta!$D$14+Coefficienti!$B$8*Parametri!$B$5,2)</f>
        <v>592.78</v>
      </c>
      <c r="G35" s="4" t="n">
        <f aca="false">ROUND(((Coefficienti!$B$1+Coefficienti!$B$2*G$22+Coefficienti!$B$3*$A35)*Parametri!$B$1*(1-Parametri!$B$2)+((Coefficienti!$B$4+Coefficienti!$B$5*G$22+Coefficienti!$B$6*$A35)+Coefficienti!$B$7)*(1-Parametri!$B$3))*(1+Parametri!$B$4)+Ferramenta!$D$14+Coefficienti!$B$8*Parametri!$B$5,2)</f>
        <v>599.18</v>
      </c>
      <c r="H35" s="4" t="n">
        <f aca="false">ROUND(((Coefficienti!$B$1+Coefficienti!$B$2*H$22+Coefficienti!$B$3*$A35)*Parametri!$B$1*(1-Parametri!$B$2)+((Coefficienti!$B$4+Coefficienti!$B$5*H$22+Coefficienti!$B$6*$A35)+Coefficienti!$B$7)*(1-Parametri!$B$3))*(1+Parametri!$B$4)+Ferramenta!$D$14+Coefficienti!$B$8*Parametri!$B$5,2)</f>
        <v>605.58</v>
      </c>
      <c r="I35" s="4" t="n">
        <f aca="false">ROUND(((Coefficienti!$B$1+Coefficienti!$B$2*I$22+Coefficienti!$B$3*$A35)*Parametri!$B$1*(1-Parametri!$B$2)+((Coefficienti!$B$4+Coefficienti!$B$5*I$22+Coefficienti!$B$6*$A35)+Coefficienti!$B$7)*(1-Parametri!$B$3))*(1+Parametri!$B$4)+Ferramenta!$D$14+Coefficienti!$B$8*Parametri!$B$5,2)</f>
        <v>611.98</v>
      </c>
      <c r="J35" s="4" t="n">
        <f aca="false">ROUND(((Coefficienti!$B$1+Coefficienti!$B$2*J$22+Coefficienti!$B$3*$A35)*Parametri!$B$1*(1-Parametri!$B$2)+((Coefficienti!$B$4+Coefficienti!$B$5*J$22+Coefficienti!$B$6*$A35)+Coefficienti!$B$7)*(1-Parametri!$B$3))*(1+Parametri!$B$4)+Ferramenta!$D$14+Coefficienti!$B$8*Parametri!$B$5,2)</f>
        <v>618.38</v>
      </c>
      <c r="K35" s="4" t="n">
        <f aca="false">ROUND(((Coefficienti!$B$1+Coefficienti!$B$2*K$22+Coefficienti!$B$3*$A35)*Parametri!$B$1*(1-Parametri!$B$2)+((Coefficienti!$B$4+Coefficienti!$B$5*K$22+Coefficienti!$B$6*$A35)+Coefficienti!$B$7)*(1-Parametri!$B$3))*(1+Parametri!$B$4)+Ferramenta!$D$14+Coefficienti!$B$8*Parametri!$B$5,2)</f>
        <v>624.78</v>
      </c>
      <c r="L35" s="4" t="n">
        <f aca="false">ROUND(((Coefficienti!$B$1+Coefficienti!$B$2*L$22+Coefficienti!$B$3*$A35)*Parametri!$B$1*(1-Parametri!$B$2)+((Coefficienti!$B$4+Coefficienti!$B$5*L$22+Coefficienti!$B$6*$A35)+Coefficienti!$B$7)*(1-Parametri!$B$3))*(1+Parametri!$B$4)+Ferramenta!$D$14+Coefficienti!$B$8*Parametri!$B$5,2)</f>
        <v>631.19</v>
      </c>
      <c r="M35" s="4" t="n">
        <f aca="false">ROUND(((Coefficienti!$B$1+Coefficienti!$B$2*M$22+Coefficienti!$B$3*$A35)*Parametri!$B$1*(1-Parametri!$B$2)+((Coefficienti!$B$4+Coefficienti!$B$5*M$22+Coefficienti!$B$6*$A35)+Coefficienti!$B$7)*(1-Parametri!$B$3))*(1+Parametri!$B$4)+Ferramenta!$D$14+Coefficienti!$B$8*Parametri!$B$5,2)</f>
        <v>637.59</v>
      </c>
      <c r="N35" s="4" t="n">
        <f aca="false">ROUND(((Coefficienti!$B$1+Coefficienti!$B$2*N$22+Coefficienti!$B$3*$A35)*Parametri!$B$1*(1-Parametri!$B$2)+((Coefficienti!$B$4+Coefficienti!$B$5*N$22+Coefficienti!$B$6*$A35)+Coefficienti!$B$7)*(1-Parametri!$B$3))*(1+Parametri!$B$4)+Ferramenta!$D$14+Coefficienti!$B$8*Parametri!$B$5,2)</f>
        <v>643.99</v>
      </c>
    </row>
    <row r="36" customFormat="false" ht="15" hidden="false" customHeight="false" outlineLevel="0" collapsed="false">
      <c r="A36" s="2" t="n">
        <v>1800</v>
      </c>
      <c r="B36" s="4" t="n">
        <f aca="false">ROUND(((Coefficienti!$B$1+Coefficienti!$B$2*B$22+Coefficienti!$B$3*$A36)*Parametri!$B$1*(1-Parametri!$B$2)+((Coefficienti!$B$4+Coefficienti!$B$5*B$22+Coefficienti!$B$6*$A36)+Coefficienti!$B$7)*(1-Parametri!$B$3))*(1+Parametri!$B$4)+Ferramenta!$D$14+Coefficienti!$B$8*Parametri!$B$5,2)</f>
        <v>577.45</v>
      </c>
      <c r="C36" s="4" t="n">
        <f aca="false">ROUND(((Coefficienti!$B$1+Coefficienti!$B$2*C$22+Coefficienti!$B$3*$A36)*Parametri!$B$1*(1-Parametri!$B$2)+((Coefficienti!$B$4+Coefficienti!$B$5*C$22+Coefficienti!$B$6*$A36)+Coefficienti!$B$7)*(1-Parametri!$B$3))*(1+Parametri!$B$4)+Ferramenta!$D$14+Coefficienti!$B$8*Parametri!$B$5,2)</f>
        <v>583.86</v>
      </c>
      <c r="D36" s="4" t="n">
        <f aca="false">ROUND(((Coefficienti!$B$1+Coefficienti!$B$2*D$22+Coefficienti!$B$3*$A36)*Parametri!$B$1*(1-Parametri!$B$2)+((Coefficienti!$B$4+Coefficienti!$B$5*D$22+Coefficienti!$B$6*$A36)+Coefficienti!$B$7)*(1-Parametri!$B$3))*(1+Parametri!$B$4)+Ferramenta!$D$14+Coefficienti!$B$8*Parametri!$B$5,2)</f>
        <v>590.26</v>
      </c>
      <c r="E36" s="4" t="n">
        <f aca="false">ROUND(((Coefficienti!$B$1+Coefficienti!$B$2*E$22+Coefficienti!$B$3*$A36)*Parametri!$B$1*(1-Parametri!$B$2)+((Coefficienti!$B$4+Coefficienti!$B$5*E$22+Coefficienti!$B$6*$A36)+Coefficienti!$B$7)*(1-Parametri!$B$3))*(1+Parametri!$B$4)+Ferramenta!$D$14+Coefficienti!$B$8*Parametri!$B$5,2)</f>
        <v>596.66</v>
      </c>
      <c r="F36" s="4" t="n">
        <f aca="false">ROUND(((Coefficienti!$B$1+Coefficienti!$B$2*F$22+Coefficienti!$B$3*$A36)*Parametri!$B$1*(1-Parametri!$B$2)+((Coefficienti!$B$4+Coefficienti!$B$5*F$22+Coefficienti!$B$6*$A36)+Coefficienti!$B$7)*(1-Parametri!$B$3))*(1+Parametri!$B$4)+Ferramenta!$D$14+Coefficienti!$B$8*Parametri!$B$5,2)</f>
        <v>603.06</v>
      </c>
      <c r="G36" s="4" t="n">
        <f aca="false">ROUND(((Coefficienti!$B$1+Coefficienti!$B$2*G$22+Coefficienti!$B$3*$A36)*Parametri!$B$1*(1-Parametri!$B$2)+((Coefficienti!$B$4+Coefficienti!$B$5*G$22+Coefficienti!$B$6*$A36)+Coefficienti!$B$7)*(1-Parametri!$B$3))*(1+Parametri!$B$4)+Ferramenta!$D$14+Coefficienti!$B$8*Parametri!$B$5,2)</f>
        <v>609.46</v>
      </c>
      <c r="H36" s="4" t="n">
        <f aca="false">ROUND(((Coefficienti!$B$1+Coefficienti!$B$2*H$22+Coefficienti!$B$3*$A36)*Parametri!$B$1*(1-Parametri!$B$2)+((Coefficienti!$B$4+Coefficienti!$B$5*H$22+Coefficienti!$B$6*$A36)+Coefficienti!$B$7)*(1-Parametri!$B$3))*(1+Parametri!$B$4)+Ferramenta!$D$14+Coefficienti!$B$8*Parametri!$B$5,2)</f>
        <v>615.86</v>
      </c>
      <c r="I36" s="4" t="n">
        <f aca="false">ROUND(((Coefficienti!$B$1+Coefficienti!$B$2*I$22+Coefficienti!$B$3*$A36)*Parametri!$B$1*(1-Parametri!$B$2)+((Coefficienti!$B$4+Coefficienti!$B$5*I$22+Coefficienti!$B$6*$A36)+Coefficienti!$B$7)*(1-Parametri!$B$3))*(1+Parametri!$B$4)+Ferramenta!$D$14+Coefficienti!$B$8*Parametri!$B$5,2)</f>
        <v>622.26</v>
      </c>
      <c r="J36" s="4" t="n">
        <f aca="false">ROUND(((Coefficienti!$B$1+Coefficienti!$B$2*J$22+Coefficienti!$B$3*$A36)*Parametri!$B$1*(1-Parametri!$B$2)+((Coefficienti!$B$4+Coefficienti!$B$5*J$22+Coefficienti!$B$6*$A36)+Coefficienti!$B$7)*(1-Parametri!$B$3))*(1+Parametri!$B$4)+Ferramenta!$D$14+Coefficienti!$B$8*Parametri!$B$5,2)</f>
        <v>628.67</v>
      </c>
      <c r="K36" s="4" t="n">
        <f aca="false">ROUND(((Coefficienti!$B$1+Coefficienti!$B$2*K$22+Coefficienti!$B$3*$A36)*Parametri!$B$1*(1-Parametri!$B$2)+((Coefficienti!$B$4+Coefficienti!$B$5*K$22+Coefficienti!$B$6*$A36)+Coefficienti!$B$7)*(1-Parametri!$B$3))*(1+Parametri!$B$4)+Ferramenta!$D$14+Coefficienti!$B$8*Parametri!$B$5,2)</f>
        <v>635.07</v>
      </c>
      <c r="L36" s="4" t="n">
        <f aca="false">ROUND(((Coefficienti!$B$1+Coefficienti!$B$2*L$22+Coefficienti!$B$3*$A36)*Parametri!$B$1*(1-Parametri!$B$2)+((Coefficienti!$B$4+Coefficienti!$B$5*L$22+Coefficienti!$B$6*$A36)+Coefficienti!$B$7)*(1-Parametri!$B$3))*(1+Parametri!$B$4)+Ferramenta!$D$14+Coefficienti!$B$8*Parametri!$B$5,2)</f>
        <v>641.47</v>
      </c>
      <c r="M36" s="4" t="n">
        <f aca="false">ROUND(((Coefficienti!$B$1+Coefficienti!$B$2*M$22+Coefficienti!$B$3*$A36)*Parametri!$B$1*(1-Parametri!$B$2)+((Coefficienti!$B$4+Coefficienti!$B$5*M$22+Coefficienti!$B$6*$A36)+Coefficienti!$B$7)*(1-Parametri!$B$3))*(1+Parametri!$B$4)+Ferramenta!$D$14+Coefficienti!$B$8*Parametri!$B$5,2)</f>
        <v>647.87</v>
      </c>
      <c r="N36" s="4" t="n">
        <f aca="false">ROUND(((Coefficienti!$B$1+Coefficienti!$B$2*N$22+Coefficienti!$B$3*$A36)*Parametri!$B$1*(1-Parametri!$B$2)+((Coefficienti!$B$4+Coefficienti!$B$5*N$22+Coefficienti!$B$6*$A36)+Coefficienti!$B$7)*(1-Parametri!$B$3))*(1+Parametri!$B$4)+Ferramenta!$D$14+Coefficienti!$B$8*Parametri!$B$5,2)</f>
        <v>654.27</v>
      </c>
    </row>
    <row r="37" customFormat="false" ht="15" hidden="false" customHeight="false" outlineLevel="0" collapsed="false">
      <c r="A37" s="2" t="n">
        <v>1900</v>
      </c>
      <c r="B37" s="4" t="n">
        <f aca="false">ROUND(((Coefficienti!$B$1+Coefficienti!$B$2*B$22+Coefficienti!$B$3*$A37)*Parametri!$B$1*(1-Parametri!$B$2)+((Coefficienti!$B$4+Coefficienti!$B$5*B$22+Coefficienti!$B$6*$A37)+Coefficienti!$B$7)*(1-Parametri!$B$3))*(1+Parametri!$B$4)+Ferramenta!$D$14+Coefficienti!$B$8*Parametri!$B$5,2)</f>
        <v>587.74</v>
      </c>
      <c r="C37" s="4" t="n">
        <f aca="false">ROUND(((Coefficienti!$B$1+Coefficienti!$B$2*C$22+Coefficienti!$B$3*$A37)*Parametri!$B$1*(1-Parametri!$B$2)+((Coefficienti!$B$4+Coefficienti!$B$5*C$22+Coefficienti!$B$6*$A37)+Coefficienti!$B$7)*(1-Parametri!$B$3))*(1+Parametri!$B$4)+Ferramenta!$D$14+Coefficienti!$B$8*Parametri!$B$5,2)</f>
        <v>594.14</v>
      </c>
      <c r="D37" s="4" t="n">
        <f aca="false">ROUND(((Coefficienti!$B$1+Coefficienti!$B$2*D$22+Coefficienti!$B$3*$A37)*Parametri!$B$1*(1-Parametri!$B$2)+((Coefficienti!$B$4+Coefficienti!$B$5*D$22+Coefficienti!$B$6*$A37)+Coefficienti!$B$7)*(1-Parametri!$B$3))*(1+Parametri!$B$4)+Ferramenta!$D$14+Coefficienti!$B$8*Parametri!$B$5,2)</f>
        <v>600.54</v>
      </c>
      <c r="E37" s="4" t="n">
        <f aca="false">ROUND(((Coefficienti!$B$1+Coefficienti!$B$2*E$22+Coefficienti!$B$3*$A37)*Parametri!$B$1*(1-Parametri!$B$2)+((Coefficienti!$B$4+Coefficienti!$B$5*E$22+Coefficienti!$B$6*$A37)+Coefficienti!$B$7)*(1-Parametri!$B$3))*(1+Parametri!$B$4)+Ferramenta!$D$14+Coefficienti!$B$8*Parametri!$B$5,2)</f>
        <v>606.94</v>
      </c>
      <c r="F37" s="4" t="n">
        <f aca="false">ROUND(((Coefficienti!$B$1+Coefficienti!$B$2*F$22+Coefficienti!$B$3*$A37)*Parametri!$B$1*(1-Parametri!$B$2)+((Coefficienti!$B$4+Coefficienti!$B$5*F$22+Coefficienti!$B$6*$A37)+Coefficienti!$B$7)*(1-Parametri!$B$3))*(1+Parametri!$B$4)+Ferramenta!$D$14+Coefficienti!$B$8*Parametri!$B$5,2)</f>
        <v>613.34</v>
      </c>
      <c r="G37" s="4" t="n">
        <f aca="false">ROUND(((Coefficienti!$B$1+Coefficienti!$B$2*G$22+Coefficienti!$B$3*$A37)*Parametri!$B$1*(1-Parametri!$B$2)+((Coefficienti!$B$4+Coefficienti!$B$5*G$22+Coefficienti!$B$6*$A37)+Coefficienti!$B$7)*(1-Parametri!$B$3))*(1+Parametri!$B$4)+Ferramenta!$D$14+Coefficienti!$B$8*Parametri!$B$5,2)</f>
        <v>619.75</v>
      </c>
      <c r="H37" s="4" t="n">
        <f aca="false">ROUND(((Coefficienti!$B$1+Coefficienti!$B$2*H$22+Coefficienti!$B$3*$A37)*Parametri!$B$1*(1-Parametri!$B$2)+((Coefficienti!$B$4+Coefficienti!$B$5*H$22+Coefficienti!$B$6*$A37)+Coefficienti!$B$7)*(1-Parametri!$B$3))*(1+Parametri!$B$4)+Ferramenta!$D$14+Coefficienti!$B$8*Parametri!$B$5,2)</f>
        <v>626.15</v>
      </c>
      <c r="I37" s="4" t="n">
        <f aca="false">ROUND(((Coefficienti!$B$1+Coefficienti!$B$2*I$22+Coefficienti!$B$3*$A37)*Parametri!$B$1*(1-Parametri!$B$2)+((Coefficienti!$B$4+Coefficienti!$B$5*I$22+Coefficienti!$B$6*$A37)+Coefficienti!$B$7)*(1-Parametri!$B$3))*(1+Parametri!$B$4)+Ferramenta!$D$14+Coefficienti!$B$8*Parametri!$B$5,2)</f>
        <v>632.55</v>
      </c>
      <c r="J37" s="4" t="n">
        <f aca="false">ROUND(((Coefficienti!$B$1+Coefficienti!$B$2*J$22+Coefficienti!$B$3*$A37)*Parametri!$B$1*(1-Parametri!$B$2)+((Coefficienti!$B$4+Coefficienti!$B$5*J$22+Coefficienti!$B$6*$A37)+Coefficienti!$B$7)*(1-Parametri!$B$3))*(1+Parametri!$B$4)+Ferramenta!$D$14+Coefficienti!$B$8*Parametri!$B$5,2)</f>
        <v>638.95</v>
      </c>
      <c r="K37" s="4" t="n">
        <f aca="false">ROUND(((Coefficienti!$B$1+Coefficienti!$B$2*K$22+Coefficienti!$B$3*$A37)*Parametri!$B$1*(1-Parametri!$B$2)+((Coefficienti!$B$4+Coefficienti!$B$5*K$22+Coefficienti!$B$6*$A37)+Coefficienti!$B$7)*(1-Parametri!$B$3))*(1+Parametri!$B$4)+Ferramenta!$D$14+Coefficienti!$B$8*Parametri!$B$5,2)</f>
        <v>645.35</v>
      </c>
      <c r="L37" s="4" t="n">
        <f aca="false">ROUND(((Coefficienti!$B$1+Coefficienti!$B$2*L$22+Coefficienti!$B$3*$A37)*Parametri!$B$1*(1-Parametri!$B$2)+((Coefficienti!$B$4+Coefficienti!$B$5*L$22+Coefficienti!$B$6*$A37)+Coefficienti!$B$7)*(1-Parametri!$B$3))*(1+Parametri!$B$4)+Ferramenta!$D$14+Coefficienti!$B$8*Parametri!$B$5,2)</f>
        <v>651.75</v>
      </c>
      <c r="M37" s="4" t="n">
        <f aca="false">ROUND(((Coefficienti!$B$1+Coefficienti!$B$2*M$22+Coefficienti!$B$3*$A37)*Parametri!$B$1*(1-Parametri!$B$2)+((Coefficienti!$B$4+Coefficienti!$B$5*M$22+Coefficienti!$B$6*$A37)+Coefficienti!$B$7)*(1-Parametri!$B$3))*(1+Parametri!$B$4)+Ferramenta!$D$14+Coefficienti!$B$8*Parametri!$B$5,2)</f>
        <v>658.15</v>
      </c>
      <c r="N37" s="4" t="n">
        <f aca="false">ROUND(((Coefficienti!$B$1+Coefficienti!$B$2*N$22+Coefficienti!$B$3*$A37)*Parametri!$B$1*(1-Parametri!$B$2)+((Coefficienti!$B$4+Coefficienti!$B$5*N$22+Coefficienti!$B$6*$A37)+Coefficienti!$B$7)*(1-Parametri!$B$3))*(1+Parametri!$B$4)+Ferramenta!$D$14+Coefficienti!$B$8*Parametri!$B$5,2)</f>
        <v>664.56</v>
      </c>
    </row>
    <row r="38" customFormat="false" ht="15" hidden="false" customHeight="false" outlineLevel="0" collapsed="false">
      <c r="A38" s="2" t="n">
        <v>2000</v>
      </c>
      <c r="B38" s="4" t="n">
        <f aca="false">ROUND(((Coefficienti!$B$1+Coefficienti!$B$2*B$22+Coefficienti!$B$3*$A38)*Parametri!$B$1*(1-Parametri!$B$2)+((Coefficienti!$B$4+Coefficienti!$B$5*B$22+Coefficienti!$B$6*$A38)+Coefficienti!$B$7)*(1-Parametri!$B$3))*(1+Parametri!$B$4)+Ferramenta!$D$14+Coefficienti!$B$8*Parametri!$B$5,2)</f>
        <v>598.02</v>
      </c>
      <c r="C38" s="4" t="n">
        <f aca="false">ROUND(((Coefficienti!$B$1+Coefficienti!$B$2*C$22+Coefficienti!$B$3*$A38)*Parametri!$B$1*(1-Parametri!$B$2)+((Coefficienti!$B$4+Coefficienti!$B$5*C$22+Coefficienti!$B$6*$A38)+Coefficienti!$B$7)*(1-Parametri!$B$3))*(1+Parametri!$B$4)+Ferramenta!$D$14+Coefficienti!$B$8*Parametri!$B$5,2)</f>
        <v>604.42</v>
      </c>
      <c r="D38" s="4" t="n">
        <f aca="false">ROUND(((Coefficienti!$B$1+Coefficienti!$B$2*D$22+Coefficienti!$B$3*$A38)*Parametri!$B$1*(1-Parametri!$B$2)+((Coefficienti!$B$4+Coefficienti!$B$5*D$22+Coefficienti!$B$6*$A38)+Coefficienti!$B$7)*(1-Parametri!$B$3))*(1+Parametri!$B$4)+Ferramenta!$D$14+Coefficienti!$B$8*Parametri!$B$5,2)</f>
        <v>610.83</v>
      </c>
      <c r="E38" s="4" t="n">
        <f aca="false">ROUND(((Coefficienti!$B$1+Coefficienti!$B$2*E$22+Coefficienti!$B$3*$A38)*Parametri!$B$1*(1-Parametri!$B$2)+((Coefficienti!$B$4+Coefficienti!$B$5*E$22+Coefficienti!$B$6*$A38)+Coefficienti!$B$7)*(1-Parametri!$B$3))*(1+Parametri!$B$4)+Ferramenta!$D$14+Coefficienti!$B$8*Parametri!$B$5,2)</f>
        <v>617.23</v>
      </c>
      <c r="F38" s="4" t="n">
        <f aca="false">ROUND(((Coefficienti!$B$1+Coefficienti!$B$2*F$22+Coefficienti!$B$3*$A38)*Parametri!$B$1*(1-Parametri!$B$2)+((Coefficienti!$B$4+Coefficienti!$B$5*F$22+Coefficienti!$B$6*$A38)+Coefficienti!$B$7)*(1-Parametri!$B$3))*(1+Parametri!$B$4)+Ferramenta!$D$14+Coefficienti!$B$8*Parametri!$B$5,2)</f>
        <v>623.63</v>
      </c>
      <c r="G38" s="4" t="n">
        <f aca="false">ROUND(((Coefficienti!$B$1+Coefficienti!$B$2*G$22+Coefficienti!$B$3*$A38)*Parametri!$B$1*(1-Parametri!$B$2)+((Coefficienti!$B$4+Coefficienti!$B$5*G$22+Coefficienti!$B$6*$A38)+Coefficienti!$B$7)*(1-Parametri!$B$3))*(1+Parametri!$B$4)+Ferramenta!$D$14+Coefficienti!$B$8*Parametri!$B$5,2)</f>
        <v>630.03</v>
      </c>
      <c r="H38" s="4" t="n">
        <f aca="false">ROUND(((Coefficienti!$B$1+Coefficienti!$B$2*H$22+Coefficienti!$B$3*$A38)*Parametri!$B$1*(1-Parametri!$B$2)+((Coefficienti!$B$4+Coefficienti!$B$5*H$22+Coefficienti!$B$6*$A38)+Coefficienti!$B$7)*(1-Parametri!$B$3))*(1+Parametri!$B$4)+Ferramenta!$D$14+Coefficienti!$B$8*Parametri!$B$5,2)</f>
        <v>636.43</v>
      </c>
      <c r="I38" s="4" t="n">
        <f aca="false">ROUND(((Coefficienti!$B$1+Coefficienti!$B$2*I$22+Coefficienti!$B$3*$A38)*Parametri!$B$1*(1-Parametri!$B$2)+((Coefficienti!$B$4+Coefficienti!$B$5*I$22+Coefficienti!$B$6*$A38)+Coefficienti!$B$7)*(1-Parametri!$B$3))*(1+Parametri!$B$4)+Ferramenta!$D$14+Coefficienti!$B$8*Parametri!$B$5,2)</f>
        <v>642.83</v>
      </c>
      <c r="J38" s="4" t="n">
        <f aca="false">ROUND(((Coefficienti!$B$1+Coefficienti!$B$2*J$22+Coefficienti!$B$3*$A38)*Parametri!$B$1*(1-Parametri!$B$2)+((Coefficienti!$B$4+Coefficienti!$B$5*J$22+Coefficienti!$B$6*$A38)+Coefficienti!$B$7)*(1-Parametri!$B$3))*(1+Parametri!$B$4)+Ferramenta!$D$14+Coefficienti!$B$8*Parametri!$B$5,2)</f>
        <v>649.23</v>
      </c>
      <c r="K38" s="4" t="n">
        <f aca="false">ROUND(((Coefficienti!$B$1+Coefficienti!$B$2*K$22+Coefficienti!$B$3*$A38)*Parametri!$B$1*(1-Parametri!$B$2)+((Coefficienti!$B$4+Coefficienti!$B$5*K$22+Coefficienti!$B$6*$A38)+Coefficienti!$B$7)*(1-Parametri!$B$3))*(1+Parametri!$B$4)+Ferramenta!$D$14+Coefficienti!$B$8*Parametri!$B$5,2)</f>
        <v>655.64</v>
      </c>
      <c r="L38" s="4" t="n">
        <f aca="false">ROUND(((Coefficienti!$B$1+Coefficienti!$B$2*L$22+Coefficienti!$B$3*$A38)*Parametri!$B$1*(1-Parametri!$B$2)+((Coefficienti!$B$4+Coefficienti!$B$5*L$22+Coefficienti!$B$6*$A38)+Coefficienti!$B$7)*(1-Parametri!$B$3))*(1+Parametri!$B$4)+Ferramenta!$D$14+Coefficienti!$B$8*Parametri!$B$5,2)</f>
        <v>662.04</v>
      </c>
      <c r="M38" s="4" t="n">
        <f aca="false">ROUND(((Coefficienti!$B$1+Coefficienti!$B$2*M$22+Coefficienti!$B$3*$A38)*Parametri!$B$1*(1-Parametri!$B$2)+((Coefficienti!$B$4+Coefficienti!$B$5*M$22+Coefficienti!$B$6*$A38)+Coefficienti!$B$7)*(1-Parametri!$B$3))*(1+Parametri!$B$4)+Ferramenta!$D$14+Coefficienti!$B$8*Parametri!$B$5,2)</f>
        <v>668.44</v>
      </c>
      <c r="N38" s="4" t="n">
        <f aca="false">ROUND(((Coefficienti!$B$1+Coefficienti!$B$2*N$22+Coefficienti!$B$3*$A38)*Parametri!$B$1*(1-Parametri!$B$2)+((Coefficienti!$B$4+Coefficienti!$B$5*N$22+Coefficienti!$B$6*$A38)+Coefficienti!$B$7)*(1-Parametri!$B$3))*(1+Parametri!$B$4)+Ferramenta!$D$14+Coefficienti!$B$8*Parametri!$B$5,2)</f>
        <v>674.84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</cols>
  <sheetData>
    <row r="1" customFormat="false" ht="15" hidden="false" customHeight="false" outlineLevel="0" collapsed="false">
      <c r="A1" s="5" t="s">
        <v>3</v>
      </c>
      <c r="B1" s="6" t="n">
        <v>14.82</v>
      </c>
    </row>
    <row r="2" customFormat="false" ht="15" hidden="false" customHeight="false" outlineLevel="0" collapsed="false">
      <c r="A2" s="5" t="s">
        <v>4</v>
      </c>
      <c r="B2" s="7" t="n">
        <v>0.43</v>
      </c>
    </row>
    <row r="3" customFormat="false" ht="15" hidden="false" customHeight="false" outlineLevel="0" collapsed="false">
      <c r="A3" s="5" t="s">
        <v>5</v>
      </c>
      <c r="B3" s="7" t="n">
        <v>0.2</v>
      </c>
    </row>
    <row r="4" customFormat="false" ht="15" hidden="false" customHeight="false" outlineLevel="0" collapsed="false">
      <c r="A4" s="5" t="s">
        <v>6</v>
      </c>
      <c r="B4" s="7" t="n">
        <v>0.09</v>
      </c>
    </row>
    <row r="5" customFormat="false" ht="15" hidden="false" customHeight="false" outlineLevel="0" collapsed="false">
      <c r="A5" s="5" t="s">
        <v>7</v>
      </c>
      <c r="B5" s="6" t="n">
        <v>65</v>
      </c>
    </row>
    <row r="6" customFormat="false" ht="15" hidden="false" customHeight="false" outlineLevel="0" collapsed="false">
      <c r="A6" s="5" t="s">
        <v>8</v>
      </c>
      <c r="B6" s="7" t="n">
        <v>2.13</v>
      </c>
    </row>
    <row r="8" customFormat="false" ht="15" hidden="false" customHeight="false" outlineLevel="0" collapsed="false">
      <c r="A8" s="5" t="s">
        <v>9</v>
      </c>
    </row>
    <row r="9" customFormat="false" ht="15" hidden="false" customHeight="false" outlineLevel="0" collapsed="false">
      <c r="A9" s="5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</cols>
  <sheetData>
    <row r="1" customFormat="false" ht="15" hidden="false" customHeight="false" outlineLevel="0" collapsed="false">
      <c r="A1" s="5" t="s">
        <v>11</v>
      </c>
      <c r="B1" s="5" t="n">
        <v>-0.81311</v>
      </c>
    </row>
    <row r="2" customFormat="false" ht="15" hidden="false" customHeight="false" outlineLevel="0" collapsed="false">
      <c r="A2" s="5" t="s">
        <v>12</v>
      </c>
      <c r="B2" s="5" t="n">
        <v>0.00672</v>
      </c>
    </row>
    <row r="3" customFormat="false" ht="15" hidden="false" customHeight="false" outlineLevel="0" collapsed="false">
      <c r="A3" s="5" t="s">
        <v>13</v>
      </c>
      <c r="B3" s="5" t="n">
        <v>0.01087</v>
      </c>
    </row>
    <row r="4" customFormat="false" ht="15" hidden="false" customHeight="false" outlineLevel="0" collapsed="false">
      <c r="A4" s="5" t="s">
        <v>14</v>
      </c>
      <c r="B4" s="5" t="n">
        <v>0.015277</v>
      </c>
    </row>
    <row r="5" customFormat="false" ht="15" hidden="false" customHeight="false" outlineLevel="0" collapsed="false">
      <c r="A5" s="5" t="s">
        <v>15</v>
      </c>
      <c r="B5" s="5" t="n">
        <v>0.002453</v>
      </c>
    </row>
    <row r="6" customFormat="false" ht="15" hidden="false" customHeight="false" outlineLevel="0" collapsed="false">
      <c r="A6" s="5" t="s">
        <v>16</v>
      </c>
      <c r="B6" s="5" t="n">
        <v>0.003157</v>
      </c>
    </row>
    <row r="7" customFormat="false" ht="15" hidden="false" customHeight="false" outlineLevel="0" collapsed="false">
      <c r="A7" s="5" t="s">
        <v>17</v>
      </c>
      <c r="B7" s="5" t="n">
        <v>54.91</v>
      </c>
    </row>
    <row r="8" customFormat="false" ht="15" hidden="false" customHeight="false" outlineLevel="0" collapsed="false">
      <c r="A8" s="5" t="s">
        <v>18</v>
      </c>
      <c r="B8" s="5" t="n">
        <v>4.33333333</v>
      </c>
    </row>
    <row r="10" customFormat="false" ht="15" hidden="false" customHeight="false" outlineLevel="0" collapsed="false">
      <c r="A10" s="5" t="s">
        <v>19</v>
      </c>
    </row>
    <row r="11" customFormat="false" ht="15" hidden="false" customHeight="false" outlineLevel="0" collapsed="false">
      <c r="A11" s="5" t="s">
        <v>20</v>
      </c>
    </row>
    <row r="12" customFormat="false" ht="15" hidden="false" customHeight="false" outlineLevel="0" collapsed="false">
      <c r="A12" s="5" t="s">
        <v>21</v>
      </c>
    </row>
    <row r="13" customFormat="false" ht="15" hidden="false" customHeight="false" outlineLevel="0" collapsed="false">
      <c r="A13" s="5" t="s">
        <v>22</v>
      </c>
    </row>
    <row r="14" customFormat="false" ht="15" hidden="false" customHeight="false" outlineLevel="0" collapsed="false">
      <c r="A14" s="5" t="s">
        <v>23</v>
      </c>
    </row>
    <row r="15" customFormat="false" ht="15" hidden="false" customHeight="false" outlineLevel="0" collapsed="false">
      <c r="A15" s="5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</cols>
  <sheetData>
    <row r="1" customFormat="false" ht="15" hidden="false" customHeight="false" outlineLevel="0" collapsed="false">
      <c r="A1" s="2" t="s">
        <v>25</v>
      </c>
      <c r="B1" s="2" t="s">
        <v>26</v>
      </c>
      <c r="C1" s="2" t="s">
        <v>27</v>
      </c>
      <c r="D1" s="2" t="s">
        <v>28</v>
      </c>
    </row>
    <row r="2" customFormat="false" ht="15" hidden="false" customHeight="false" outlineLevel="0" collapsed="false">
      <c r="A2" s="5" t="s">
        <v>29</v>
      </c>
      <c r="B2" s="8" t="n">
        <v>1</v>
      </c>
      <c r="C2" s="6" t="n">
        <v>5.5</v>
      </c>
      <c r="D2" s="4" t="n">
        <f aca="false">B2*C2</f>
        <v>5.5</v>
      </c>
    </row>
    <row r="3" customFormat="false" ht="15" hidden="false" customHeight="false" outlineLevel="0" collapsed="false">
      <c r="A3" s="5" t="s">
        <v>30</v>
      </c>
      <c r="B3" s="8" t="n">
        <v>1</v>
      </c>
      <c r="C3" s="6" t="n">
        <v>3.57</v>
      </c>
      <c r="D3" s="4" t="n">
        <f aca="false">B3*C3</f>
        <v>3.57</v>
      </c>
    </row>
    <row r="4" customFormat="false" ht="15" hidden="false" customHeight="false" outlineLevel="0" collapsed="false">
      <c r="A4" s="5" t="s">
        <v>31</v>
      </c>
      <c r="B4" s="8" t="n">
        <v>1</v>
      </c>
      <c r="C4" s="6" t="n">
        <v>1.26</v>
      </c>
      <c r="D4" s="4" t="n">
        <f aca="false">B4*C4</f>
        <v>1.26</v>
      </c>
    </row>
    <row r="5" customFormat="false" ht="15" hidden="false" customHeight="false" outlineLevel="0" collapsed="false">
      <c r="A5" s="5" t="s">
        <v>32</v>
      </c>
      <c r="B5" s="8" t="n">
        <v>1</v>
      </c>
      <c r="C5" s="6" t="n">
        <v>1.33</v>
      </c>
      <c r="D5" s="4" t="n">
        <f aca="false">B5*C5</f>
        <v>1.33</v>
      </c>
    </row>
    <row r="6" customFormat="false" ht="15" hidden="false" customHeight="false" outlineLevel="0" collapsed="false">
      <c r="A6" s="5" t="s">
        <v>33</v>
      </c>
      <c r="B6" s="8" t="n">
        <v>1</v>
      </c>
      <c r="C6" s="6" t="n">
        <v>0.92</v>
      </c>
      <c r="D6" s="4" t="n">
        <f aca="false">B6*C6</f>
        <v>0.92</v>
      </c>
    </row>
    <row r="7" customFormat="false" ht="15" hidden="false" customHeight="false" outlineLevel="0" collapsed="false">
      <c r="A7" s="5" t="s">
        <v>34</v>
      </c>
      <c r="B7" s="8" t="n">
        <v>2</v>
      </c>
      <c r="C7" s="6" t="n">
        <v>0.373</v>
      </c>
      <c r="D7" s="4" t="n">
        <f aca="false">B7*C7</f>
        <v>0.746</v>
      </c>
    </row>
    <row r="8" customFormat="false" ht="15" hidden="false" customHeight="false" outlineLevel="0" collapsed="false">
      <c r="A8" s="5" t="s">
        <v>35</v>
      </c>
      <c r="B8" s="8" t="n">
        <v>4</v>
      </c>
      <c r="C8" s="6" t="n">
        <v>0</v>
      </c>
      <c r="D8" s="4" t="n">
        <f aca="false">B8*C8</f>
        <v>0</v>
      </c>
    </row>
    <row r="9" customFormat="false" ht="15" hidden="false" customHeight="false" outlineLevel="0" collapsed="false">
      <c r="A9" s="5" t="s">
        <v>36</v>
      </c>
      <c r="B9" s="8" t="n">
        <v>1</v>
      </c>
      <c r="C9" s="6" t="n">
        <v>0</v>
      </c>
      <c r="D9" s="4" t="n">
        <f aca="false">B9*C9</f>
        <v>0</v>
      </c>
    </row>
    <row r="10" customFormat="false" ht="15" hidden="false" customHeight="false" outlineLevel="0" collapsed="false">
      <c r="A10" s="5" t="s">
        <v>37</v>
      </c>
      <c r="B10" s="8" t="n">
        <v>1</v>
      </c>
      <c r="C10" s="6" t="n">
        <v>0</v>
      </c>
      <c r="D10" s="4" t="n">
        <f aca="false">B10*C10</f>
        <v>0</v>
      </c>
    </row>
    <row r="11" customFormat="false" ht="15" hidden="false" customHeight="false" outlineLevel="0" collapsed="false">
      <c r="A11" s="5" t="s">
        <v>38</v>
      </c>
      <c r="B11" s="8" t="n">
        <v>1</v>
      </c>
      <c r="C11" s="6" t="n">
        <v>4.46</v>
      </c>
      <c r="D11" s="4" t="n">
        <f aca="false">B11*C11</f>
        <v>4.46</v>
      </c>
    </row>
    <row r="12" customFormat="false" ht="15" hidden="false" customHeight="false" outlineLevel="0" collapsed="false">
      <c r="A12" s="5" t="s">
        <v>39</v>
      </c>
      <c r="B12" s="8" t="n">
        <v>1</v>
      </c>
      <c r="C12" s="6" t="n">
        <v>1.27</v>
      </c>
      <c r="D12" s="4" t="n">
        <f aca="false">B12*C12</f>
        <v>1.27</v>
      </c>
    </row>
    <row r="13" customFormat="false" ht="15" hidden="false" customHeight="false" outlineLevel="0" collapsed="false">
      <c r="A13" s="5" t="s">
        <v>40</v>
      </c>
      <c r="B13" s="8" t="n">
        <v>1</v>
      </c>
      <c r="C13" s="6" t="n">
        <v>0</v>
      </c>
      <c r="D13" s="4" t="n">
        <f aca="false">B13*C13</f>
        <v>0</v>
      </c>
    </row>
    <row r="14" customFormat="false" ht="15" hidden="false" customHeight="false" outlineLevel="0" collapsed="false">
      <c r="A14" s="9" t="s">
        <v>41</v>
      </c>
      <c r="D14" s="10" t="n">
        <f aca="false">SUM(D2:D13)</f>
        <v>19.056</v>
      </c>
    </row>
    <row r="16" customFormat="false" ht="15" hidden="false" customHeight="false" outlineLevel="0" collapsed="false">
      <c r="A16" s="5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2026-09-02T19:56:29Z</dcterms:created>
  <dc:creator>openpyxl</dc:creator>
  <dc:description/>
  <dc:language>en-US</dc:language>
  <cp:lastModifiedBy/>
  <dcterms:modified xsi:type="dcterms:W3CDTF">2026-09-02T19:56:29Z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