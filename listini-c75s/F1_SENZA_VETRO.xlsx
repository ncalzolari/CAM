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zzo" sheetId="1" state="visible" r:id="rId3"/>
    <sheet name="Parametri" sheetId="2" state="visible" r:id="rId4"/>
    <sheet name="Coefficienti" sheetId="3" state="visible" r:id="rId5"/>
    <sheet name="Ferramen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<sst xmlns="http://schemas.openxmlformats.org/spreadsheetml/2006/main" count="41" uniqueCount="40">
  <si>
    <t xml:space="preserve">LISTINO — FINESTRA 1 ANTA (1A75) — C75S SENZA VETRO — RAL 7016 (costo +213%)</t>
  </si>
  <si>
    <t xml:space="preserve">H/L</t>
  </si>
  <si>
    <t xml:space="preserve">COSTO SERRAMENTO (materiale scontato + sfrido + manodopera)</t>
  </si>
  <si>
    <t xml:space="preserve">Prezzo profili €/kg (10820 CAT.B +ADD — RAL 7016)</t>
  </si>
  <si>
    <t xml:space="preserve">Sconto profili su listino AluK</t>
  </si>
  <si>
    <t xml:space="preserve">Sconto accessori/guarnizioni su listino AluK</t>
  </si>
  <si>
    <t xml:space="preserve">Sfrido</t>
  </si>
  <si>
    <t xml:space="preserve">Tariffa oraria manodopera €/h</t>
  </si>
  <si>
    <t xml:space="preserve">Ricarico su costo totale</t>
  </si>
  <si>
    <t xml:space="preserve">Celle gialle = valori modificabili: tutte le griglie si ricalcolano.</t>
  </si>
  <si>
    <t xml:space="preserve">Listino AluK decorrenza 15-06-2026. Ferramenta: prezzi nel foglio dedicato.</t>
  </si>
  <si>
    <t xml:space="preserve">Peso alluminio costante (kg)</t>
  </si>
  <si>
    <t xml:space="preserve">Peso per mm di L (kg/mm)</t>
  </si>
  <si>
    <t xml:space="preserve">Peso per mm di H (kg/mm)</t>
  </si>
  <si>
    <t xml:space="preserve">Guarnizioni costante (€ listino)</t>
  </si>
  <si>
    <t xml:space="preserve">Guarnizioni per mm di L (€/mm)</t>
  </si>
  <si>
    <t xml:space="preserve">Guarnizioni per mm di H (€/mm)</t>
  </si>
  <si>
    <t xml:space="preserve">Accessori totale (€ listino)</t>
  </si>
  <si>
    <t xml:space="preserve">Ore manodopera</t>
  </si>
  <si>
    <t xml:space="preserve">Derivati dalle distinte catalogo AluK C75S sez. 8 e pesi kg/m catalogo v3.</t>
  </si>
  <si>
    <t xml:space="preserve">Assunzioni: supporti vetro V62008 = 4 per vetro; mascherine V51015 = 2 pz;</t>
  </si>
  <si>
    <t xml:space="preserve">fermavetro battenti N45860 (0,37 kg/m), fisso coppia N45856 (0,62 kg/m);</t>
  </si>
  <si>
    <t xml:space="preserve">squadrette V40022/V40037 prezzate come V40022 (0,607 €).</t>
  </si>
  <si>
    <t xml:space="preserve">Manodopera: 1h telaio + 1h/anta + 20' ferramenta/anta + 20'/vetro.</t>
  </si>
  <si>
    <t xml:space="preserve">Prezzi unitari accessori e guarnizioni dal listino AluK 15-06-2026 (pre-sconto).</t>
  </si>
  <si>
    <t xml:space="preserve">Componente</t>
  </si>
  <si>
    <t xml:space="preserve">Q.tà</t>
  </si>
  <si>
    <t xml:space="preserve">Prezzo €/pz</t>
  </si>
  <si>
    <t xml:space="preserve">Subtotale €</t>
  </si>
  <si>
    <t xml:space="preserve">Martellina DK 1033</t>
  </si>
  <si>
    <t xml:space="preserve">Cremonese Multi Matic GR1590 (201745)</t>
  </si>
  <si>
    <t xml:space="preserve">Chiusura centrale MM (201752)</t>
  </si>
  <si>
    <t xml:space="preserve">Movimento angolare MM (222201)</t>
  </si>
  <si>
    <t xml:space="preserve">Movimento angolare prolungabile (222209)</t>
  </si>
  <si>
    <t xml:space="preserve">Scontro fungo scost.9 (356361)</t>
  </si>
  <si>
    <t xml:space="preserve">Scontro nottolino (355866) — NON a listino</t>
  </si>
  <si>
    <t xml:space="preserve">Cerniere a vista (set anta) — DA INSERIRE</t>
  </si>
  <si>
    <t xml:space="preserve">Forbice a vista + braccio — DA INSERIRE</t>
  </si>
  <si>
    <t xml:space="preserve">TOTALE FERRAMENTA</t>
  </si>
  <si>
    <t xml:space="preserve">Celle gialle modificabili. Prezzi a 0 = da inserire: il listino li ignora finché vuoti.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</si>
</sst>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9" min="2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 customFormat="false" ht="15" hidden="false" customHeight="false" outlineLevel="0" collapsed="false">
      <c r="A3" s="2" t="n">
        <v>500</v>
      </c>
      <c r="B3" s="4" t="n">
        <f aca="false">ROUND(ROUND(((Coefficienti!$B$1+Coefficienti!$B$2*B$2+Coefficienti!$B$3*$A3)*Parametri!$B$1*(1-Parametri!$B$2)+((Coefficienti!$B$4+Coefficienti!$B$5*B$2+Coefficienti!$B$6*$A3)+Coefficienti!$B$7)*(1-Parametri!$B$3))*(1+Parametri!$B$4)+Ferramenta!$D$11+Coefficienti!$B$8*Parametri!$B$5,2)*(1+Parametri!$B$6),2)</f>
        <v>862.03</v>
      </c>
      <c r="C3" s="4" t="n">
        <f aca="false">ROUND(ROUND(((Coefficienti!$B$1+Coefficienti!$B$2*C$2+Coefficienti!$B$3*$A3)*Parametri!$B$1*(1-Parametri!$B$2)+((Coefficienti!$B$4+Coefficienti!$B$5*C$2+Coefficienti!$B$6*$A3)+Coefficienti!$B$7)*(1-Parametri!$B$3))*(1+Parametri!$B$4)+Ferramenta!$D$11+Coefficienti!$B$8*Parametri!$B$5,2)*(1+Parametri!$B$6),2)</f>
        <v>882.07</v>
      </c>
      <c r="D3" s="4" t="n">
        <f aca="false">ROUND(ROUND(((Coefficienti!$B$1+Coefficienti!$B$2*D$2+Coefficienti!$B$3*$A3)*Parametri!$B$1*(1-Parametri!$B$2)+((Coefficienti!$B$4+Coefficienti!$B$5*D$2+Coefficienti!$B$6*$A3)+Coefficienti!$B$7)*(1-Parametri!$B$3))*(1+Parametri!$B$4)+Ferramenta!$D$11+Coefficienti!$B$8*Parametri!$B$5,2)*(1+Parametri!$B$6),2)</f>
        <v>902.13</v>
      </c>
      <c r="E3" s="4" t="n">
        <f aca="false">ROUND(ROUND(((Coefficienti!$B$1+Coefficienti!$B$2*E$2+Coefficienti!$B$3*$A3)*Parametri!$B$1*(1-Parametri!$B$2)+((Coefficienti!$B$4+Coefficienti!$B$5*E$2+Coefficienti!$B$6*$A3)+Coefficienti!$B$7)*(1-Parametri!$B$3))*(1+Parametri!$B$4)+Ferramenta!$D$11+Coefficienti!$B$8*Parametri!$B$5,2)*(1+Parametri!$B$6),2)</f>
        <v>922.16</v>
      </c>
      <c r="F3" s="4" t="n">
        <f aca="false">ROUND(ROUND(((Coefficienti!$B$1+Coefficienti!$B$2*F$2+Coefficienti!$B$3*$A3)*Parametri!$B$1*(1-Parametri!$B$2)+((Coefficienti!$B$4+Coefficienti!$B$5*F$2+Coefficienti!$B$6*$A3)+Coefficienti!$B$7)*(1-Parametri!$B$3))*(1+Parametri!$B$4)+Ferramenta!$D$11+Coefficienti!$B$8*Parametri!$B$5,2)*(1+Parametri!$B$6),2)</f>
        <v>942.19</v>
      </c>
      <c r="G3" s="4" t="n">
        <f aca="false">ROUND(ROUND(((Coefficienti!$B$1+Coefficienti!$B$2*G$2+Coefficienti!$B$3*$A3)*Parametri!$B$1*(1-Parametri!$B$2)+((Coefficienti!$B$4+Coefficienti!$B$5*G$2+Coefficienti!$B$6*$A3)+Coefficienti!$B$7)*(1-Parametri!$B$3))*(1+Parametri!$B$4)+Ferramenta!$D$11+Coefficienti!$B$8*Parametri!$B$5,2)*(1+Parametri!$B$6),2)</f>
        <v>962.22</v>
      </c>
      <c r="H3" s="4" t="n">
        <f aca="false">ROUND(ROUND(((Coefficienti!$B$1+Coefficienti!$B$2*H$2+Coefficienti!$B$3*$A3)*Parametri!$B$1*(1-Parametri!$B$2)+((Coefficienti!$B$4+Coefficienti!$B$5*H$2+Coefficienti!$B$6*$A3)+Coefficienti!$B$7)*(1-Parametri!$B$3))*(1+Parametri!$B$4)+Ferramenta!$D$11+Coefficienti!$B$8*Parametri!$B$5,2)*(1+Parametri!$B$6),2)</f>
        <v>982.26</v>
      </c>
      <c r="I3" s="4" t="n">
        <f aca="false">ROUND(ROUND(((Coefficienti!$B$1+Coefficienti!$B$2*I$2+Coefficienti!$B$3*$A3)*Parametri!$B$1*(1-Parametri!$B$2)+((Coefficienti!$B$4+Coefficienti!$B$5*I$2+Coefficienti!$B$6*$A3)+Coefficienti!$B$7)*(1-Parametri!$B$3))*(1+Parametri!$B$4)+Ferramenta!$D$11+Coefficienti!$B$8*Parametri!$B$5,2)*(1+Parametri!$B$6),2)</f>
        <v>1002.29</v>
      </c>
    </row>
    <row r="4" customFormat="false" ht="15" hidden="false" customHeight="false" outlineLevel="0" collapsed="false">
      <c r="A4" s="2" t="n">
        <v>600</v>
      </c>
      <c r="B4" s="4" t="n">
        <f aca="false">ROUND(ROUND(((Coefficienti!$B$1+Coefficienti!$B$2*B$2+Coefficienti!$B$3*$A4)*Parametri!$B$1*(1-Parametri!$B$2)+((Coefficienti!$B$4+Coefficienti!$B$5*B$2+Coefficienti!$B$6*$A4)+Coefficienti!$B$7)*(1-Parametri!$B$3))*(1+Parametri!$B$4)+Ferramenta!$D$11+Coefficienti!$B$8*Parametri!$B$5,2)*(1+Parametri!$B$6),2)</f>
        <v>882.07</v>
      </c>
      <c r="C4" s="4" t="n">
        <f aca="false">ROUND(ROUND(((Coefficienti!$B$1+Coefficienti!$B$2*C$2+Coefficienti!$B$3*$A4)*Parametri!$B$1*(1-Parametri!$B$2)+((Coefficienti!$B$4+Coefficienti!$B$5*C$2+Coefficienti!$B$6*$A4)+Coefficienti!$B$7)*(1-Parametri!$B$3))*(1+Parametri!$B$4)+Ferramenta!$D$11+Coefficienti!$B$8*Parametri!$B$5,2)*(1+Parametri!$B$6),2)</f>
        <v>902.13</v>
      </c>
      <c r="D4" s="4" t="n">
        <f aca="false">ROUND(ROUND(((Coefficienti!$B$1+Coefficienti!$B$2*D$2+Coefficienti!$B$3*$A4)*Parametri!$B$1*(1-Parametri!$B$2)+((Coefficienti!$B$4+Coefficienti!$B$5*D$2+Coefficienti!$B$6*$A4)+Coefficienti!$B$7)*(1-Parametri!$B$3))*(1+Parametri!$B$4)+Ferramenta!$D$11+Coefficienti!$B$8*Parametri!$B$5,2)*(1+Parametri!$B$6),2)</f>
        <v>922.16</v>
      </c>
      <c r="E4" s="4" t="n">
        <f aca="false">ROUND(ROUND(((Coefficienti!$B$1+Coefficienti!$B$2*E$2+Coefficienti!$B$3*$A4)*Parametri!$B$1*(1-Parametri!$B$2)+((Coefficienti!$B$4+Coefficienti!$B$5*E$2+Coefficienti!$B$6*$A4)+Coefficienti!$B$7)*(1-Parametri!$B$3))*(1+Parametri!$B$4)+Ferramenta!$D$11+Coefficienti!$B$8*Parametri!$B$5,2)*(1+Parametri!$B$6),2)</f>
        <v>942.19</v>
      </c>
      <c r="F4" s="4" t="n">
        <f aca="false">ROUND(ROUND(((Coefficienti!$B$1+Coefficienti!$B$2*F$2+Coefficienti!$B$3*$A4)*Parametri!$B$1*(1-Parametri!$B$2)+((Coefficienti!$B$4+Coefficienti!$B$5*F$2+Coefficienti!$B$6*$A4)+Coefficienti!$B$7)*(1-Parametri!$B$3))*(1+Parametri!$B$4)+Ferramenta!$D$11+Coefficienti!$B$8*Parametri!$B$5,2)*(1+Parametri!$B$6),2)</f>
        <v>962.22</v>
      </c>
      <c r="G4" s="4" t="n">
        <f aca="false">ROUND(ROUND(((Coefficienti!$B$1+Coefficienti!$B$2*G$2+Coefficienti!$B$3*$A4)*Parametri!$B$1*(1-Parametri!$B$2)+((Coefficienti!$B$4+Coefficienti!$B$5*G$2+Coefficienti!$B$6*$A4)+Coefficienti!$B$7)*(1-Parametri!$B$3))*(1+Parametri!$B$4)+Ferramenta!$D$11+Coefficienti!$B$8*Parametri!$B$5,2)*(1+Parametri!$B$6),2)</f>
        <v>982.26</v>
      </c>
      <c r="H4" s="4" t="n">
        <f aca="false">ROUND(ROUND(((Coefficienti!$B$1+Coefficienti!$B$2*H$2+Coefficienti!$B$3*$A4)*Parametri!$B$1*(1-Parametri!$B$2)+((Coefficienti!$B$4+Coefficienti!$B$5*H$2+Coefficienti!$B$6*$A4)+Coefficienti!$B$7)*(1-Parametri!$B$3))*(1+Parametri!$B$4)+Ferramenta!$D$11+Coefficienti!$B$8*Parametri!$B$5,2)*(1+Parametri!$B$6),2)</f>
        <v>1002.29</v>
      </c>
      <c r="I4" s="4" t="n">
        <f aca="false">ROUND(ROUND(((Coefficienti!$B$1+Coefficienti!$B$2*I$2+Coefficienti!$B$3*$A4)*Parametri!$B$1*(1-Parametri!$B$2)+((Coefficienti!$B$4+Coefficienti!$B$5*I$2+Coefficienti!$B$6*$A4)+Coefficienti!$B$7)*(1-Parametri!$B$3))*(1+Parametri!$B$4)+Ferramenta!$D$11+Coefficienti!$B$8*Parametri!$B$5,2)*(1+Parametri!$B$6),2)</f>
        <v>1022.35</v>
      </c>
    </row>
    <row r="5" customFormat="false" ht="15" hidden="false" customHeight="false" outlineLevel="0" collapsed="false">
      <c r="A5" s="2" t="n">
        <v>700</v>
      </c>
      <c r="B5" s="4" t="n">
        <f aca="false">ROUND(ROUND(((Coefficienti!$B$1+Coefficienti!$B$2*B$2+Coefficienti!$B$3*$A5)*Parametri!$B$1*(1-Parametri!$B$2)+((Coefficienti!$B$4+Coefficienti!$B$5*B$2+Coefficienti!$B$6*$A5)+Coefficienti!$B$7)*(1-Parametri!$B$3))*(1+Parametri!$B$4)+Ferramenta!$D$11+Coefficienti!$B$8*Parametri!$B$5,2)*(1+Parametri!$B$6),2)</f>
        <v>902.13</v>
      </c>
      <c r="C5" s="4" t="n">
        <f aca="false">ROUND(ROUND(((Coefficienti!$B$1+Coefficienti!$B$2*C$2+Coefficienti!$B$3*$A5)*Parametri!$B$1*(1-Parametri!$B$2)+((Coefficienti!$B$4+Coefficienti!$B$5*C$2+Coefficienti!$B$6*$A5)+Coefficienti!$B$7)*(1-Parametri!$B$3))*(1+Parametri!$B$4)+Ferramenta!$D$11+Coefficienti!$B$8*Parametri!$B$5,2)*(1+Parametri!$B$6),2)</f>
        <v>922.16</v>
      </c>
      <c r="D5" s="4" t="n">
        <f aca="false">ROUND(ROUND(((Coefficienti!$B$1+Coefficienti!$B$2*D$2+Coefficienti!$B$3*$A5)*Parametri!$B$1*(1-Parametri!$B$2)+((Coefficienti!$B$4+Coefficienti!$B$5*D$2+Coefficienti!$B$6*$A5)+Coefficienti!$B$7)*(1-Parametri!$B$3))*(1+Parametri!$B$4)+Ferramenta!$D$11+Coefficienti!$B$8*Parametri!$B$5,2)*(1+Parametri!$B$6),2)</f>
        <v>942.19</v>
      </c>
      <c r="E5" s="4" t="n">
        <f aca="false">ROUND(ROUND(((Coefficienti!$B$1+Coefficienti!$B$2*E$2+Coefficienti!$B$3*$A5)*Parametri!$B$1*(1-Parametri!$B$2)+((Coefficienti!$B$4+Coefficienti!$B$5*E$2+Coefficienti!$B$6*$A5)+Coefficienti!$B$7)*(1-Parametri!$B$3))*(1+Parametri!$B$4)+Ferramenta!$D$11+Coefficienti!$B$8*Parametri!$B$5,2)*(1+Parametri!$B$6),2)</f>
        <v>962.22</v>
      </c>
      <c r="F5" s="4" t="n">
        <f aca="false">ROUND(ROUND(((Coefficienti!$B$1+Coefficienti!$B$2*F$2+Coefficienti!$B$3*$A5)*Parametri!$B$1*(1-Parametri!$B$2)+((Coefficienti!$B$4+Coefficienti!$B$5*F$2+Coefficienti!$B$6*$A5)+Coefficienti!$B$7)*(1-Parametri!$B$3))*(1+Parametri!$B$4)+Ferramenta!$D$11+Coefficienti!$B$8*Parametri!$B$5,2)*(1+Parametri!$B$6),2)</f>
        <v>982.26</v>
      </c>
      <c r="G5" s="4" t="n">
        <f aca="false">ROUND(ROUND(((Coefficienti!$B$1+Coefficienti!$B$2*G$2+Coefficienti!$B$3*$A5)*Parametri!$B$1*(1-Parametri!$B$2)+((Coefficienti!$B$4+Coefficienti!$B$5*G$2+Coefficienti!$B$6*$A5)+Coefficienti!$B$7)*(1-Parametri!$B$3))*(1+Parametri!$B$4)+Ferramenta!$D$11+Coefficienti!$B$8*Parametri!$B$5,2)*(1+Parametri!$B$6),2)</f>
        <v>1002.29</v>
      </c>
      <c r="H5" s="4" t="n">
        <f aca="false">ROUND(ROUND(((Coefficienti!$B$1+Coefficienti!$B$2*H$2+Coefficienti!$B$3*$A5)*Parametri!$B$1*(1-Parametri!$B$2)+((Coefficienti!$B$4+Coefficienti!$B$5*H$2+Coefficienti!$B$6*$A5)+Coefficienti!$B$7)*(1-Parametri!$B$3))*(1+Parametri!$B$4)+Ferramenta!$D$11+Coefficienti!$B$8*Parametri!$B$5,2)*(1+Parametri!$B$6),2)</f>
        <v>1022.35</v>
      </c>
      <c r="I5" s="4" t="n">
        <f aca="false">ROUND(ROUND(((Coefficienti!$B$1+Coefficienti!$B$2*I$2+Coefficienti!$B$3*$A5)*Parametri!$B$1*(1-Parametri!$B$2)+((Coefficienti!$B$4+Coefficienti!$B$5*I$2+Coefficienti!$B$6*$A5)+Coefficienti!$B$7)*(1-Parametri!$B$3))*(1+Parametri!$B$4)+Ferramenta!$D$11+Coefficienti!$B$8*Parametri!$B$5,2)*(1+Parametri!$B$6),2)</f>
        <v>1042.38</v>
      </c>
    </row>
    <row r="6" customFormat="false" ht="15" hidden="false" customHeight="false" outlineLevel="0" collapsed="false">
      <c r="A6" s="2" t="n">
        <v>800</v>
      </c>
      <c r="B6" s="4" t="n">
        <f aca="false">ROUND(ROUND(((Coefficienti!$B$1+Coefficienti!$B$2*B$2+Coefficienti!$B$3*$A6)*Parametri!$B$1*(1-Parametri!$B$2)+((Coefficienti!$B$4+Coefficienti!$B$5*B$2+Coefficienti!$B$6*$A6)+Coefficienti!$B$7)*(1-Parametri!$B$3))*(1+Parametri!$B$4)+Ferramenta!$D$11+Coefficienti!$B$8*Parametri!$B$5,2)*(1+Parametri!$B$6),2)</f>
        <v>922.16</v>
      </c>
      <c r="C6" s="4" t="n">
        <f aca="false">ROUND(ROUND(((Coefficienti!$B$1+Coefficienti!$B$2*C$2+Coefficienti!$B$3*$A6)*Parametri!$B$1*(1-Parametri!$B$2)+((Coefficienti!$B$4+Coefficienti!$B$5*C$2+Coefficienti!$B$6*$A6)+Coefficienti!$B$7)*(1-Parametri!$B$3))*(1+Parametri!$B$4)+Ferramenta!$D$11+Coefficienti!$B$8*Parametri!$B$5,2)*(1+Parametri!$B$6),2)</f>
        <v>942.19</v>
      </c>
      <c r="D6" s="4" t="n">
        <f aca="false">ROUND(ROUND(((Coefficienti!$B$1+Coefficienti!$B$2*D$2+Coefficienti!$B$3*$A6)*Parametri!$B$1*(1-Parametri!$B$2)+((Coefficienti!$B$4+Coefficienti!$B$5*D$2+Coefficienti!$B$6*$A6)+Coefficienti!$B$7)*(1-Parametri!$B$3))*(1+Parametri!$B$4)+Ferramenta!$D$11+Coefficienti!$B$8*Parametri!$B$5,2)*(1+Parametri!$B$6),2)</f>
        <v>962.22</v>
      </c>
      <c r="E6" s="4" t="n">
        <f aca="false">ROUND(ROUND(((Coefficienti!$B$1+Coefficienti!$B$2*E$2+Coefficienti!$B$3*$A6)*Parametri!$B$1*(1-Parametri!$B$2)+((Coefficienti!$B$4+Coefficienti!$B$5*E$2+Coefficienti!$B$6*$A6)+Coefficienti!$B$7)*(1-Parametri!$B$3))*(1+Parametri!$B$4)+Ferramenta!$D$11+Coefficienti!$B$8*Parametri!$B$5,2)*(1+Parametri!$B$6),2)</f>
        <v>982.26</v>
      </c>
      <c r="F6" s="4" t="n">
        <f aca="false">ROUND(ROUND(((Coefficienti!$B$1+Coefficienti!$B$2*F$2+Coefficienti!$B$3*$A6)*Parametri!$B$1*(1-Parametri!$B$2)+((Coefficienti!$B$4+Coefficienti!$B$5*F$2+Coefficienti!$B$6*$A6)+Coefficienti!$B$7)*(1-Parametri!$B$3))*(1+Parametri!$B$4)+Ferramenta!$D$11+Coefficienti!$B$8*Parametri!$B$5,2)*(1+Parametri!$B$6),2)</f>
        <v>1002.29</v>
      </c>
      <c r="G6" s="4" t="n">
        <f aca="false">ROUND(ROUND(((Coefficienti!$B$1+Coefficienti!$B$2*G$2+Coefficienti!$B$3*$A6)*Parametri!$B$1*(1-Parametri!$B$2)+((Coefficienti!$B$4+Coefficienti!$B$5*G$2+Coefficienti!$B$6*$A6)+Coefficienti!$B$7)*(1-Parametri!$B$3))*(1+Parametri!$B$4)+Ferramenta!$D$11+Coefficienti!$B$8*Parametri!$B$5,2)*(1+Parametri!$B$6),2)</f>
        <v>1022.35</v>
      </c>
      <c r="H6" s="4" t="n">
        <f aca="false">ROUND(ROUND(((Coefficienti!$B$1+Coefficienti!$B$2*H$2+Coefficienti!$B$3*$A6)*Parametri!$B$1*(1-Parametri!$B$2)+((Coefficienti!$B$4+Coefficienti!$B$5*H$2+Coefficienti!$B$6*$A6)+Coefficienti!$B$7)*(1-Parametri!$B$3))*(1+Parametri!$B$4)+Ferramenta!$D$11+Coefficienti!$B$8*Parametri!$B$5,2)*(1+Parametri!$B$6),2)</f>
        <v>1042.38</v>
      </c>
      <c r="I6" s="4" t="n">
        <f aca="false">ROUND(ROUND(((Coefficienti!$B$1+Coefficienti!$B$2*I$2+Coefficienti!$B$3*$A6)*Parametri!$B$1*(1-Parametri!$B$2)+((Coefficienti!$B$4+Coefficienti!$B$5*I$2+Coefficienti!$B$6*$A6)+Coefficienti!$B$7)*(1-Parametri!$B$3))*(1+Parametri!$B$4)+Ferramenta!$D$11+Coefficienti!$B$8*Parametri!$B$5,2)*(1+Parametri!$B$6),2)</f>
        <v>1062.42</v>
      </c>
    </row>
    <row r="7" customFormat="false" ht="15" hidden="false" customHeight="false" outlineLevel="0" collapsed="false">
      <c r="A7" s="2" t="n">
        <v>900</v>
      </c>
      <c r="B7" s="4" t="n">
        <f aca="false">ROUND(ROUND(((Coefficienti!$B$1+Coefficienti!$B$2*B$2+Coefficienti!$B$3*$A7)*Parametri!$B$1*(1-Parametri!$B$2)+((Coefficienti!$B$4+Coefficienti!$B$5*B$2+Coefficienti!$B$6*$A7)+Coefficienti!$B$7)*(1-Parametri!$B$3))*(1+Parametri!$B$4)+Ferramenta!$D$11+Coefficienti!$B$8*Parametri!$B$5,2)*(1+Parametri!$B$6),2)</f>
        <v>942.19</v>
      </c>
      <c r="C7" s="4" t="n">
        <f aca="false">ROUND(ROUND(((Coefficienti!$B$1+Coefficienti!$B$2*C$2+Coefficienti!$B$3*$A7)*Parametri!$B$1*(1-Parametri!$B$2)+((Coefficienti!$B$4+Coefficienti!$B$5*C$2+Coefficienti!$B$6*$A7)+Coefficienti!$B$7)*(1-Parametri!$B$3))*(1+Parametri!$B$4)+Ferramenta!$D$11+Coefficienti!$B$8*Parametri!$B$5,2)*(1+Parametri!$B$6),2)</f>
        <v>962.22</v>
      </c>
      <c r="D7" s="4" t="n">
        <f aca="false">ROUND(ROUND(((Coefficienti!$B$1+Coefficienti!$B$2*D$2+Coefficienti!$B$3*$A7)*Parametri!$B$1*(1-Parametri!$B$2)+((Coefficienti!$B$4+Coefficienti!$B$5*D$2+Coefficienti!$B$6*$A7)+Coefficienti!$B$7)*(1-Parametri!$B$3))*(1+Parametri!$B$4)+Ferramenta!$D$11+Coefficienti!$B$8*Parametri!$B$5,2)*(1+Parametri!$B$6),2)</f>
        <v>982.26</v>
      </c>
      <c r="E7" s="4" t="n">
        <f aca="false">ROUND(ROUND(((Coefficienti!$B$1+Coefficienti!$B$2*E$2+Coefficienti!$B$3*$A7)*Parametri!$B$1*(1-Parametri!$B$2)+((Coefficienti!$B$4+Coefficienti!$B$5*E$2+Coefficienti!$B$6*$A7)+Coefficienti!$B$7)*(1-Parametri!$B$3))*(1+Parametri!$B$4)+Ferramenta!$D$11+Coefficienti!$B$8*Parametri!$B$5,2)*(1+Parametri!$B$6),2)</f>
        <v>1002.29</v>
      </c>
      <c r="F7" s="4" t="n">
        <f aca="false">ROUND(ROUND(((Coefficienti!$B$1+Coefficienti!$B$2*F$2+Coefficienti!$B$3*$A7)*Parametri!$B$1*(1-Parametri!$B$2)+((Coefficienti!$B$4+Coefficienti!$B$5*F$2+Coefficienti!$B$6*$A7)+Coefficienti!$B$7)*(1-Parametri!$B$3))*(1+Parametri!$B$4)+Ferramenta!$D$11+Coefficienti!$B$8*Parametri!$B$5,2)*(1+Parametri!$B$6),2)</f>
        <v>1022.35</v>
      </c>
      <c r="G7" s="4" t="n">
        <f aca="false">ROUND(ROUND(((Coefficienti!$B$1+Coefficienti!$B$2*G$2+Coefficienti!$B$3*$A7)*Parametri!$B$1*(1-Parametri!$B$2)+((Coefficienti!$B$4+Coefficienti!$B$5*G$2+Coefficienti!$B$6*$A7)+Coefficienti!$B$7)*(1-Parametri!$B$3))*(1+Parametri!$B$4)+Ferramenta!$D$11+Coefficienti!$B$8*Parametri!$B$5,2)*(1+Parametri!$B$6),2)</f>
        <v>1042.38</v>
      </c>
      <c r="H7" s="4" t="n">
        <f aca="false">ROUND(ROUND(((Coefficienti!$B$1+Coefficienti!$B$2*H$2+Coefficienti!$B$3*$A7)*Parametri!$B$1*(1-Parametri!$B$2)+((Coefficienti!$B$4+Coefficienti!$B$5*H$2+Coefficienti!$B$6*$A7)+Coefficienti!$B$7)*(1-Parametri!$B$3))*(1+Parametri!$B$4)+Ferramenta!$D$11+Coefficienti!$B$8*Parametri!$B$5,2)*(1+Parametri!$B$6),2)</f>
        <v>1062.42</v>
      </c>
      <c r="I7" s="4" t="n">
        <f aca="false">ROUND(ROUND(((Coefficienti!$B$1+Coefficienti!$B$2*I$2+Coefficienti!$B$3*$A7)*Parametri!$B$1*(1-Parametri!$B$2)+((Coefficienti!$B$4+Coefficienti!$B$5*I$2+Coefficienti!$B$6*$A7)+Coefficienti!$B$7)*(1-Parametri!$B$3))*(1+Parametri!$B$4)+Ferramenta!$D$11+Coefficienti!$B$8*Parametri!$B$5,2)*(1+Parametri!$B$6),2)</f>
        <v>1082.45</v>
      </c>
    </row>
    <row r="8" customFormat="false" ht="15" hidden="false" customHeight="false" outlineLevel="0" collapsed="false">
      <c r="A8" s="2" t="n">
        <v>1000</v>
      </c>
      <c r="B8" s="4" t="n">
        <f aca="false">ROUND(ROUND(((Coefficienti!$B$1+Coefficienti!$B$2*B$2+Coefficienti!$B$3*$A8)*Parametri!$B$1*(1-Parametri!$B$2)+((Coefficienti!$B$4+Coefficienti!$B$5*B$2+Coefficienti!$B$6*$A8)+Coefficienti!$B$7)*(1-Parametri!$B$3))*(1+Parametri!$B$4)+Ferramenta!$D$11+Coefficienti!$B$8*Parametri!$B$5,2)*(1+Parametri!$B$6),2)</f>
        <v>962.22</v>
      </c>
      <c r="C8" s="4" t="n">
        <f aca="false">ROUND(ROUND(((Coefficienti!$B$1+Coefficienti!$B$2*C$2+Coefficienti!$B$3*$A8)*Parametri!$B$1*(1-Parametri!$B$2)+((Coefficienti!$B$4+Coefficienti!$B$5*C$2+Coefficienti!$B$6*$A8)+Coefficienti!$B$7)*(1-Parametri!$B$3))*(1+Parametri!$B$4)+Ferramenta!$D$11+Coefficienti!$B$8*Parametri!$B$5,2)*(1+Parametri!$B$6),2)</f>
        <v>982.26</v>
      </c>
      <c r="D8" s="4" t="n">
        <f aca="false">ROUND(ROUND(((Coefficienti!$B$1+Coefficienti!$B$2*D$2+Coefficienti!$B$3*$A8)*Parametri!$B$1*(1-Parametri!$B$2)+((Coefficienti!$B$4+Coefficienti!$B$5*D$2+Coefficienti!$B$6*$A8)+Coefficienti!$B$7)*(1-Parametri!$B$3))*(1+Parametri!$B$4)+Ferramenta!$D$11+Coefficienti!$B$8*Parametri!$B$5,2)*(1+Parametri!$B$6),2)</f>
        <v>1002.29</v>
      </c>
      <c r="E8" s="4" t="n">
        <f aca="false">ROUND(ROUND(((Coefficienti!$B$1+Coefficienti!$B$2*E$2+Coefficienti!$B$3*$A8)*Parametri!$B$1*(1-Parametri!$B$2)+((Coefficienti!$B$4+Coefficienti!$B$5*E$2+Coefficienti!$B$6*$A8)+Coefficienti!$B$7)*(1-Parametri!$B$3))*(1+Parametri!$B$4)+Ferramenta!$D$11+Coefficienti!$B$8*Parametri!$B$5,2)*(1+Parametri!$B$6),2)</f>
        <v>1022.35</v>
      </c>
      <c r="F8" s="4" t="n">
        <f aca="false">ROUND(ROUND(((Coefficienti!$B$1+Coefficienti!$B$2*F$2+Coefficienti!$B$3*$A8)*Parametri!$B$1*(1-Parametri!$B$2)+((Coefficienti!$B$4+Coefficienti!$B$5*F$2+Coefficienti!$B$6*$A8)+Coefficienti!$B$7)*(1-Parametri!$B$3))*(1+Parametri!$B$4)+Ferramenta!$D$11+Coefficienti!$B$8*Parametri!$B$5,2)*(1+Parametri!$B$6),2)</f>
        <v>1042.38</v>
      </c>
      <c r="G8" s="4" t="n">
        <f aca="false">ROUND(ROUND(((Coefficienti!$B$1+Coefficienti!$B$2*G$2+Coefficienti!$B$3*$A8)*Parametri!$B$1*(1-Parametri!$B$2)+((Coefficienti!$B$4+Coefficienti!$B$5*G$2+Coefficienti!$B$6*$A8)+Coefficienti!$B$7)*(1-Parametri!$B$3))*(1+Parametri!$B$4)+Ferramenta!$D$11+Coefficienti!$B$8*Parametri!$B$5,2)*(1+Parametri!$B$6),2)</f>
        <v>1062.42</v>
      </c>
      <c r="H8" s="4" t="n">
        <f aca="false">ROUND(ROUND(((Coefficienti!$B$1+Coefficienti!$B$2*H$2+Coefficienti!$B$3*$A8)*Parametri!$B$1*(1-Parametri!$B$2)+((Coefficienti!$B$4+Coefficienti!$B$5*H$2+Coefficienti!$B$6*$A8)+Coefficienti!$B$7)*(1-Parametri!$B$3))*(1+Parametri!$B$4)+Ferramenta!$D$11+Coefficienti!$B$8*Parametri!$B$5,2)*(1+Parametri!$B$6),2)</f>
        <v>1082.45</v>
      </c>
      <c r="I8" s="4" t="n">
        <f aca="false">ROUND(ROUND(((Coefficienti!$B$1+Coefficienti!$B$2*I$2+Coefficienti!$B$3*$A8)*Parametri!$B$1*(1-Parametri!$B$2)+((Coefficienti!$B$4+Coefficienti!$B$5*I$2+Coefficienti!$B$6*$A8)+Coefficienti!$B$7)*(1-Parametri!$B$3))*(1+Parametri!$B$4)+Ferramenta!$D$11+Coefficienti!$B$8*Parametri!$B$5,2)*(1+Parametri!$B$6),2)</f>
        <v>1102.48</v>
      </c>
    </row>
    <row r="9" customFormat="false" ht="15" hidden="false" customHeight="false" outlineLevel="0" collapsed="false">
      <c r="A9" s="2" t="n">
        <v>1100</v>
      </c>
      <c r="B9" s="4" t="n">
        <f aca="false">ROUND(ROUND(((Coefficienti!$B$1+Coefficienti!$B$2*B$2+Coefficienti!$B$3*$A9)*Parametri!$B$1*(1-Parametri!$B$2)+((Coefficienti!$B$4+Coefficienti!$B$5*B$2+Coefficienti!$B$6*$A9)+Coefficienti!$B$7)*(1-Parametri!$B$3))*(1+Parametri!$B$4)+Ferramenta!$D$11+Coefficienti!$B$8*Parametri!$B$5,2)*(1+Parametri!$B$6),2)</f>
        <v>982.26</v>
      </c>
      <c r="C9" s="4" t="n">
        <f aca="false">ROUND(ROUND(((Coefficienti!$B$1+Coefficienti!$B$2*C$2+Coefficienti!$B$3*$A9)*Parametri!$B$1*(1-Parametri!$B$2)+((Coefficienti!$B$4+Coefficienti!$B$5*C$2+Coefficienti!$B$6*$A9)+Coefficienti!$B$7)*(1-Parametri!$B$3))*(1+Parametri!$B$4)+Ferramenta!$D$11+Coefficienti!$B$8*Parametri!$B$5,2)*(1+Parametri!$B$6),2)</f>
        <v>1002.29</v>
      </c>
      <c r="D9" s="4" t="n">
        <f aca="false">ROUND(ROUND(((Coefficienti!$B$1+Coefficienti!$B$2*D$2+Coefficienti!$B$3*$A9)*Parametri!$B$1*(1-Parametri!$B$2)+((Coefficienti!$B$4+Coefficienti!$B$5*D$2+Coefficienti!$B$6*$A9)+Coefficienti!$B$7)*(1-Parametri!$B$3))*(1+Parametri!$B$4)+Ferramenta!$D$11+Coefficienti!$B$8*Parametri!$B$5,2)*(1+Parametri!$B$6),2)</f>
        <v>1022.35</v>
      </c>
      <c r="E9" s="4" t="n">
        <f aca="false">ROUND(ROUND(((Coefficienti!$B$1+Coefficienti!$B$2*E$2+Coefficienti!$B$3*$A9)*Parametri!$B$1*(1-Parametri!$B$2)+((Coefficienti!$B$4+Coefficienti!$B$5*E$2+Coefficienti!$B$6*$A9)+Coefficienti!$B$7)*(1-Parametri!$B$3))*(1+Parametri!$B$4)+Ferramenta!$D$11+Coefficienti!$B$8*Parametri!$B$5,2)*(1+Parametri!$B$6),2)</f>
        <v>1042.38</v>
      </c>
      <c r="F9" s="4" t="n">
        <f aca="false">ROUND(ROUND(((Coefficienti!$B$1+Coefficienti!$B$2*F$2+Coefficienti!$B$3*$A9)*Parametri!$B$1*(1-Parametri!$B$2)+((Coefficienti!$B$4+Coefficienti!$B$5*F$2+Coefficienti!$B$6*$A9)+Coefficienti!$B$7)*(1-Parametri!$B$3))*(1+Parametri!$B$4)+Ferramenta!$D$11+Coefficienti!$B$8*Parametri!$B$5,2)*(1+Parametri!$B$6),2)</f>
        <v>1062.42</v>
      </c>
      <c r="G9" s="4" t="n">
        <f aca="false">ROUND(ROUND(((Coefficienti!$B$1+Coefficienti!$B$2*G$2+Coefficienti!$B$3*$A9)*Parametri!$B$1*(1-Parametri!$B$2)+((Coefficienti!$B$4+Coefficienti!$B$5*G$2+Coefficienti!$B$6*$A9)+Coefficienti!$B$7)*(1-Parametri!$B$3))*(1+Parametri!$B$4)+Ferramenta!$D$11+Coefficienti!$B$8*Parametri!$B$5,2)*(1+Parametri!$B$6),2)</f>
        <v>1082.45</v>
      </c>
      <c r="H9" s="4" t="n">
        <f aca="false">ROUND(ROUND(((Coefficienti!$B$1+Coefficienti!$B$2*H$2+Coefficienti!$B$3*$A9)*Parametri!$B$1*(1-Parametri!$B$2)+((Coefficienti!$B$4+Coefficienti!$B$5*H$2+Coefficienti!$B$6*$A9)+Coefficienti!$B$7)*(1-Parametri!$B$3))*(1+Parametri!$B$4)+Ferramenta!$D$11+Coefficienti!$B$8*Parametri!$B$5,2)*(1+Parametri!$B$6),2)</f>
        <v>1102.48</v>
      </c>
      <c r="I9" s="4" t="n">
        <f aca="false">ROUND(ROUND(((Coefficienti!$B$1+Coefficienti!$B$2*I$2+Coefficienti!$B$3*$A9)*Parametri!$B$1*(1-Parametri!$B$2)+((Coefficienti!$B$4+Coefficienti!$B$5*I$2+Coefficienti!$B$6*$A9)+Coefficienti!$B$7)*(1-Parametri!$B$3))*(1+Parametri!$B$4)+Ferramenta!$D$11+Coefficienti!$B$8*Parametri!$B$5,2)*(1+Parametri!$B$6),2)</f>
        <v>1122.51</v>
      </c>
    </row>
    <row r="10" customFormat="false" ht="15" hidden="false" customHeight="false" outlineLevel="0" collapsed="false">
      <c r="A10" s="2" t="n">
        <v>1200</v>
      </c>
      <c r="B10" s="4" t="n">
        <f aca="false">ROUND(ROUND(((Coefficienti!$B$1+Coefficienti!$B$2*B$2+Coefficienti!$B$3*$A10)*Parametri!$B$1*(1-Parametri!$B$2)+((Coefficienti!$B$4+Coefficienti!$B$5*B$2+Coefficienti!$B$6*$A10)+Coefficienti!$B$7)*(1-Parametri!$B$3))*(1+Parametri!$B$4)+Ferramenta!$D$11+Coefficienti!$B$8*Parametri!$B$5,2)*(1+Parametri!$B$6),2)</f>
        <v>1002.29</v>
      </c>
      <c r="C10" s="4" t="n">
        <f aca="false">ROUND(ROUND(((Coefficienti!$B$1+Coefficienti!$B$2*C$2+Coefficienti!$B$3*$A10)*Parametri!$B$1*(1-Parametri!$B$2)+((Coefficienti!$B$4+Coefficienti!$B$5*C$2+Coefficienti!$B$6*$A10)+Coefficienti!$B$7)*(1-Parametri!$B$3))*(1+Parametri!$B$4)+Ferramenta!$D$11+Coefficienti!$B$8*Parametri!$B$5,2)*(1+Parametri!$B$6),2)</f>
        <v>1022.35</v>
      </c>
      <c r="D10" s="4" t="n">
        <f aca="false">ROUND(ROUND(((Coefficienti!$B$1+Coefficienti!$B$2*D$2+Coefficienti!$B$3*$A10)*Parametri!$B$1*(1-Parametri!$B$2)+((Coefficienti!$B$4+Coefficienti!$B$5*D$2+Coefficienti!$B$6*$A10)+Coefficienti!$B$7)*(1-Parametri!$B$3))*(1+Parametri!$B$4)+Ferramenta!$D$11+Coefficienti!$B$8*Parametri!$B$5,2)*(1+Parametri!$B$6),2)</f>
        <v>1042.38</v>
      </c>
      <c r="E10" s="4" t="n">
        <f aca="false">ROUND(ROUND(((Coefficienti!$B$1+Coefficienti!$B$2*E$2+Coefficienti!$B$3*$A10)*Parametri!$B$1*(1-Parametri!$B$2)+((Coefficienti!$B$4+Coefficienti!$B$5*E$2+Coefficienti!$B$6*$A10)+Coefficienti!$B$7)*(1-Parametri!$B$3))*(1+Parametri!$B$4)+Ferramenta!$D$11+Coefficienti!$B$8*Parametri!$B$5,2)*(1+Parametri!$B$6),2)</f>
        <v>1062.42</v>
      </c>
      <c r="F10" s="4" t="n">
        <f aca="false">ROUND(ROUND(((Coefficienti!$B$1+Coefficienti!$B$2*F$2+Coefficienti!$B$3*$A10)*Parametri!$B$1*(1-Parametri!$B$2)+((Coefficienti!$B$4+Coefficienti!$B$5*F$2+Coefficienti!$B$6*$A10)+Coefficienti!$B$7)*(1-Parametri!$B$3))*(1+Parametri!$B$4)+Ferramenta!$D$11+Coefficienti!$B$8*Parametri!$B$5,2)*(1+Parametri!$B$6),2)</f>
        <v>1082.45</v>
      </c>
      <c r="G10" s="4" t="n">
        <f aca="false">ROUND(ROUND(((Coefficienti!$B$1+Coefficienti!$B$2*G$2+Coefficienti!$B$3*$A10)*Parametri!$B$1*(1-Parametri!$B$2)+((Coefficienti!$B$4+Coefficienti!$B$5*G$2+Coefficienti!$B$6*$A10)+Coefficienti!$B$7)*(1-Parametri!$B$3))*(1+Parametri!$B$4)+Ferramenta!$D$11+Coefficienti!$B$8*Parametri!$B$5,2)*(1+Parametri!$B$6),2)</f>
        <v>1102.48</v>
      </c>
      <c r="H10" s="4" t="n">
        <f aca="false">ROUND(ROUND(((Coefficienti!$B$1+Coefficienti!$B$2*H$2+Coefficienti!$B$3*$A10)*Parametri!$B$1*(1-Parametri!$B$2)+((Coefficienti!$B$4+Coefficienti!$B$5*H$2+Coefficienti!$B$6*$A10)+Coefficienti!$B$7)*(1-Parametri!$B$3))*(1+Parametri!$B$4)+Ferramenta!$D$11+Coefficienti!$B$8*Parametri!$B$5,2)*(1+Parametri!$B$6),2)</f>
        <v>1122.51</v>
      </c>
      <c r="I10" s="4" t="n">
        <f aca="false">ROUND(ROUND(((Coefficienti!$B$1+Coefficienti!$B$2*I$2+Coefficienti!$B$3*$A10)*Parametri!$B$1*(1-Parametri!$B$2)+((Coefficienti!$B$4+Coefficienti!$B$5*I$2+Coefficienti!$B$6*$A10)+Coefficienti!$B$7)*(1-Parametri!$B$3))*(1+Parametri!$B$4)+Ferramenta!$D$11+Coefficienti!$B$8*Parametri!$B$5,2)*(1+Parametri!$B$6),2)</f>
        <v>1142.54</v>
      </c>
    </row>
    <row r="11" customFormat="false" ht="15" hidden="false" customHeight="false" outlineLevel="0" collapsed="false">
      <c r="A11" s="2" t="n">
        <v>1300</v>
      </c>
      <c r="B11" s="4" t="n">
        <f aca="false">ROUND(ROUND(((Coefficienti!$B$1+Coefficienti!$B$2*B$2+Coefficienti!$B$3*$A11)*Parametri!$B$1*(1-Parametri!$B$2)+((Coefficienti!$B$4+Coefficienti!$B$5*B$2+Coefficienti!$B$6*$A11)+Coefficienti!$B$7)*(1-Parametri!$B$3))*(1+Parametri!$B$4)+Ferramenta!$D$11+Coefficienti!$B$8*Parametri!$B$5,2)*(1+Parametri!$B$6),2)</f>
        <v>1022.35</v>
      </c>
      <c r="C11" s="4" t="n">
        <f aca="false">ROUND(ROUND(((Coefficienti!$B$1+Coefficienti!$B$2*C$2+Coefficienti!$B$3*$A11)*Parametri!$B$1*(1-Parametri!$B$2)+((Coefficienti!$B$4+Coefficienti!$B$5*C$2+Coefficienti!$B$6*$A11)+Coefficienti!$B$7)*(1-Parametri!$B$3))*(1+Parametri!$B$4)+Ferramenta!$D$11+Coefficienti!$B$8*Parametri!$B$5,2)*(1+Parametri!$B$6),2)</f>
        <v>1042.38</v>
      </c>
      <c r="D11" s="4" t="n">
        <f aca="false">ROUND(ROUND(((Coefficienti!$B$1+Coefficienti!$B$2*D$2+Coefficienti!$B$3*$A11)*Parametri!$B$1*(1-Parametri!$B$2)+((Coefficienti!$B$4+Coefficienti!$B$5*D$2+Coefficienti!$B$6*$A11)+Coefficienti!$B$7)*(1-Parametri!$B$3))*(1+Parametri!$B$4)+Ferramenta!$D$11+Coefficienti!$B$8*Parametri!$B$5,2)*(1+Parametri!$B$6),2)</f>
        <v>1062.42</v>
      </c>
      <c r="E11" s="4" t="n">
        <f aca="false">ROUND(ROUND(((Coefficienti!$B$1+Coefficienti!$B$2*E$2+Coefficienti!$B$3*$A11)*Parametri!$B$1*(1-Parametri!$B$2)+((Coefficienti!$B$4+Coefficienti!$B$5*E$2+Coefficienti!$B$6*$A11)+Coefficienti!$B$7)*(1-Parametri!$B$3))*(1+Parametri!$B$4)+Ferramenta!$D$11+Coefficienti!$B$8*Parametri!$B$5,2)*(1+Parametri!$B$6),2)</f>
        <v>1082.45</v>
      </c>
      <c r="F11" s="4" t="n">
        <f aca="false">ROUND(ROUND(((Coefficienti!$B$1+Coefficienti!$B$2*F$2+Coefficienti!$B$3*$A11)*Parametri!$B$1*(1-Parametri!$B$2)+((Coefficienti!$B$4+Coefficienti!$B$5*F$2+Coefficienti!$B$6*$A11)+Coefficienti!$B$7)*(1-Parametri!$B$3))*(1+Parametri!$B$4)+Ferramenta!$D$11+Coefficienti!$B$8*Parametri!$B$5,2)*(1+Parametri!$B$6),2)</f>
        <v>1102.48</v>
      </c>
      <c r="G11" s="4" t="n">
        <f aca="false">ROUND(ROUND(((Coefficienti!$B$1+Coefficienti!$B$2*G$2+Coefficienti!$B$3*$A11)*Parametri!$B$1*(1-Parametri!$B$2)+((Coefficienti!$B$4+Coefficienti!$B$5*G$2+Coefficienti!$B$6*$A11)+Coefficienti!$B$7)*(1-Parametri!$B$3))*(1+Parametri!$B$4)+Ferramenta!$D$11+Coefficienti!$B$8*Parametri!$B$5,2)*(1+Parametri!$B$6),2)</f>
        <v>1122.51</v>
      </c>
      <c r="H11" s="4" t="n">
        <f aca="false">ROUND(ROUND(((Coefficienti!$B$1+Coefficienti!$B$2*H$2+Coefficienti!$B$3*$A11)*Parametri!$B$1*(1-Parametri!$B$2)+((Coefficienti!$B$4+Coefficienti!$B$5*H$2+Coefficienti!$B$6*$A11)+Coefficienti!$B$7)*(1-Parametri!$B$3))*(1+Parametri!$B$4)+Ferramenta!$D$11+Coefficienti!$B$8*Parametri!$B$5,2)*(1+Parametri!$B$6),2)</f>
        <v>1142.54</v>
      </c>
      <c r="I11" s="4" t="n">
        <f aca="false">ROUND(ROUND(((Coefficienti!$B$1+Coefficienti!$B$2*I$2+Coefficienti!$B$3*$A11)*Parametri!$B$1*(1-Parametri!$B$2)+((Coefficienti!$B$4+Coefficienti!$B$5*I$2+Coefficienti!$B$6*$A11)+Coefficienti!$B$7)*(1-Parametri!$B$3))*(1+Parametri!$B$4)+Ferramenta!$D$11+Coefficienti!$B$8*Parametri!$B$5,2)*(1+Parametri!$B$6),2)</f>
        <v>1162.61</v>
      </c>
    </row>
    <row r="12" customFormat="false" ht="15" hidden="false" customHeight="false" outlineLevel="0" collapsed="false">
      <c r="A12" s="2" t="n">
        <v>1400</v>
      </c>
      <c r="B12" s="4" t="n">
        <f aca="false">ROUND(ROUND(((Coefficienti!$B$1+Coefficienti!$B$2*B$2+Coefficienti!$B$3*$A12)*Parametri!$B$1*(1-Parametri!$B$2)+((Coefficienti!$B$4+Coefficienti!$B$5*B$2+Coefficienti!$B$6*$A12)+Coefficienti!$B$7)*(1-Parametri!$B$3))*(1+Parametri!$B$4)+Ferramenta!$D$11+Coefficienti!$B$8*Parametri!$B$5,2)*(1+Parametri!$B$6),2)</f>
        <v>1042.38</v>
      </c>
      <c r="C12" s="4" t="n">
        <f aca="false">ROUND(ROUND(((Coefficienti!$B$1+Coefficienti!$B$2*C$2+Coefficienti!$B$3*$A12)*Parametri!$B$1*(1-Parametri!$B$2)+((Coefficienti!$B$4+Coefficienti!$B$5*C$2+Coefficienti!$B$6*$A12)+Coefficienti!$B$7)*(1-Parametri!$B$3))*(1+Parametri!$B$4)+Ferramenta!$D$11+Coefficienti!$B$8*Parametri!$B$5,2)*(1+Parametri!$B$6),2)</f>
        <v>1062.42</v>
      </c>
      <c r="D12" s="4" t="n">
        <f aca="false">ROUND(ROUND(((Coefficienti!$B$1+Coefficienti!$B$2*D$2+Coefficienti!$B$3*$A12)*Parametri!$B$1*(1-Parametri!$B$2)+((Coefficienti!$B$4+Coefficienti!$B$5*D$2+Coefficienti!$B$6*$A12)+Coefficienti!$B$7)*(1-Parametri!$B$3))*(1+Parametri!$B$4)+Ferramenta!$D$11+Coefficienti!$B$8*Parametri!$B$5,2)*(1+Parametri!$B$6),2)</f>
        <v>1082.45</v>
      </c>
      <c r="E12" s="4" t="n">
        <f aca="false">ROUND(ROUND(((Coefficienti!$B$1+Coefficienti!$B$2*E$2+Coefficienti!$B$3*$A12)*Parametri!$B$1*(1-Parametri!$B$2)+((Coefficienti!$B$4+Coefficienti!$B$5*E$2+Coefficienti!$B$6*$A12)+Coefficienti!$B$7)*(1-Parametri!$B$3))*(1+Parametri!$B$4)+Ferramenta!$D$11+Coefficienti!$B$8*Parametri!$B$5,2)*(1+Parametri!$B$6),2)</f>
        <v>1102.48</v>
      </c>
      <c r="F12" s="4" t="n">
        <f aca="false">ROUND(ROUND(((Coefficienti!$B$1+Coefficienti!$B$2*F$2+Coefficienti!$B$3*$A12)*Parametri!$B$1*(1-Parametri!$B$2)+((Coefficienti!$B$4+Coefficienti!$B$5*F$2+Coefficienti!$B$6*$A12)+Coefficienti!$B$7)*(1-Parametri!$B$3))*(1+Parametri!$B$4)+Ferramenta!$D$11+Coefficienti!$B$8*Parametri!$B$5,2)*(1+Parametri!$B$6),2)</f>
        <v>1122.51</v>
      </c>
      <c r="G12" s="4" t="n">
        <f aca="false">ROUND(ROUND(((Coefficienti!$B$1+Coefficienti!$B$2*G$2+Coefficienti!$B$3*$A12)*Parametri!$B$1*(1-Parametri!$B$2)+((Coefficienti!$B$4+Coefficienti!$B$5*G$2+Coefficienti!$B$6*$A12)+Coefficienti!$B$7)*(1-Parametri!$B$3))*(1+Parametri!$B$4)+Ferramenta!$D$11+Coefficienti!$B$8*Parametri!$B$5,2)*(1+Parametri!$B$6),2)</f>
        <v>1142.54</v>
      </c>
      <c r="H12" s="4" t="n">
        <f aca="false">ROUND(ROUND(((Coefficienti!$B$1+Coefficienti!$B$2*H$2+Coefficienti!$B$3*$A12)*Parametri!$B$1*(1-Parametri!$B$2)+((Coefficienti!$B$4+Coefficienti!$B$5*H$2+Coefficienti!$B$6*$A12)+Coefficienti!$B$7)*(1-Parametri!$B$3))*(1+Parametri!$B$4)+Ferramenta!$D$11+Coefficienti!$B$8*Parametri!$B$5,2)*(1+Parametri!$B$6),2)</f>
        <v>1162.61</v>
      </c>
      <c r="I12" s="4" t="n">
        <f aca="false">ROUND(ROUND(((Coefficienti!$B$1+Coefficienti!$B$2*I$2+Coefficienti!$B$3*$A12)*Parametri!$B$1*(1-Parametri!$B$2)+((Coefficienti!$B$4+Coefficienti!$B$5*I$2+Coefficienti!$B$6*$A12)+Coefficienti!$B$7)*(1-Parametri!$B$3))*(1+Parametri!$B$4)+Ferramenta!$D$11+Coefficienti!$B$8*Parametri!$B$5,2)*(1+Parametri!$B$6),2)</f>
        <v>1182.64</v>
      </c>
    </row>
    <row r="13" customFormat="false" ht="15" hidden="false" customHeight="false" outlineLevel="0" collapsed="false">
      <c r="A13" s="2" t="n">
        <v>1500</v>
      </c>
      <c r="B13" s="4" t="n">
        <f aca="false">ROUND(ROUND(((Coefficienti!$B$1+Coefficienti!$B$2*B$2+Coefficienti!$B$3*$A13)*Parametri!$B$1*(1-Parametri!$B$2)+((Coefficienti!$B$4+Coefficienti!$B$5*B$2+Coefficienti!$B$6*$A13)+Coefficienti!$B$7)*(1-Parametri!$B$3))*(1+Parametri!$B$4)+Ferramenta!$D$11+Coefficienti!$B$8*Parametri!$B$5,2)*(1+Parametri!$B$6),2)</f>
        <v>1062.42</v>
      </c>
      <c r="C13" s="4" t="n">
        <f aca="false">ROUND(ROUND(((Coefficienti!$B$1+Coefficienti!$B$2*C$2+Coefficienti!$B$3*$A13)*Parametri!$B$1*(1-Parametri!$B$2)+((Coefficienti!$B$4+Coefficienti!$B$5*C$2+Coefficienti!$B$6*$A13)+Coefficienti!$B$7)*(1-Parametri!$B$3))*(1+Parametri!$B$4)+Ferramenta!$D$11+Coefficienti!$B$8*Parametri!$B$5,2)*(1+Parametri!$B$6),2)</f>
        <v>1082.45</v>
      </c>
      <c r="D13" s="4" t="n">
        <f aca="false">ROUND(ROUND(((Coefficienti!$B$1+Coefficienti!$B$2*D$2+Coefficienti!$B$3*$A13)*Parametri!$B$1*(1-Parametri!$B$2)+((Coefficienti!$B$4+Coefficienti!$B$5*D$2+Coefficienti!$B$6*$A13)+Coefficienti!$B$7)*(1-Parametri!$B$3))*(1+Parametri!$B$4)+Ferramenta!$D$11+Coefficienti!$B$8*Parametri!$B$5,2)*(1+Parametri!$B$6),2)</f>
        <v>1102.48</v>
      </c>
      <c r="E13" s="4" t="n">
        <f aca="false">ROUND(ROUND(((Coefficienti!$B$1+Coefficienti!$B$2*E$2+Coefficienti!$B$3*$A13)*Parametri!$B$1*(1-Parametri!$B$2)+((Coefficienti!$B$4+Coefficienti!$B$5*E$2+Coefficienti!$B$6*$A13)+Coefficienti!$B$7)*(1-Parametri!$B$3))*(1+Parametri!$B$4)+Ferramenta!$D$11+Coefficienti!$B$8*Parametri!$B$5,2)*(1+Parametri!$B$6),2)</f>
        <v>1122.51</v>
      </c>
      <c r="F13" s="4" t="n">
        <f aca="false">ROUND(ROUND(((Coefficienti!$B$1+Coefficienti!$B$2*F$2+Coefficienti!$B$3*$A13)*Parametri!$B$1*(1-Parametri!$B$2)+((Coefficienti!$B$4+Coefficienti!$B$5*F$2+Coefficienti!$B$6*$A13)+Coefficienti!$B$7)*(1-Parametri!$B$3))*(1+Parametri!$B$4)+Ferramenta!$D$11+Coefficienti!$B$8*Parametri!$B$5,2)*(1+Parametri!$B$6),2)</f>
        <v>1142.54</v>
      </c>
      <c r="G13" s="4" t="n">
        <f aca="false">ROUND(ROUND(((Coefficienti!$B$1+Coefficienti!$B$2*G$2+Coefficienti!$B$3*$A13)*Parametri!$B$1*(1-Parametri!$B$2)+((Coefficienti!$B$4+Coefficienti!$B$5*G$2+Coefficienti!$B$6*$A13)+Coefficienti!$B$7)*(1-Parametri!$B$3))*(1+Parametri!$B$4)+Ferramenta!$D$11+Coefficienti!$B$8*Parametri!$B$5,2)*(1+Parametri!$B$6),2)</f>
        <v>1162.61</v>
      </c>
      <c r="H13" s="4" t="n">
        <f aca="false">ROUND(ROUND(((Coefficienti!$B$1+Coefficienti!$B$2*H$2+Coefficienti!$B$3*$A13)*Parametri!$B$1*(1-Parametri!$B$2)+((Coefficienti!$B$4+Coefficienti!$B$5*H$2+Coefficienti!$B$6*$A13)+Coefficienti!$B$7)*(1-Parametri!$B$3))*(1+Parametri!$B$4)+Ferramenta!$D$11+Coefficienti!$B$8*Parametri!$B$5,2)*(1+Parametri!$B$6),2)</f>
        <v>1182.64</v>
      </c>
      <c r="I13" s="4" t="n">
        <f aca="false">ROUND(ROUND(((Coefficienti!$B$1+Coefficienti!$B$2*I$2+Coefficienti!$B$3*$A13)*Parametri!$B$1*(1-Parametri!$B$2)+((Coefficienti!$B$4+Coefficienti!$B$5*I$2+Coefficienti!$B$6*$A13)+Coefficienti!$B$7)*(1-Parametri!$B$3))*(1+Parametri!$B$4)+Ferramenta!$D$11+Coefficienti!$B$8*Parametri!$B$5,2)*(1+Parametri!$B$6),2)</f>
        <v>1202.67</v>
      </c>
    </row>
    <row r="14" customFormat="false" ht="15" hidden="false" customHeight="false" outlineLevel="0" collapsed="false">
      <c r="A14" s="2" t="n">
        <v>1600</v>
      </c>
      <c r="B14" s="4" t="n">
        <f aca="false">ROUND(ROUND(((Coefficienti!$B$1+Coefficienti!$B$2*B$2+Coefficienti!$B$3*$A14)*Parametri!$B$1*(1-Parametri!$B$2)+((Coefficienti!$B$4+Coefficienti!$B$5*B$2+Coefficienti!$B$6*$A14)+Coefficienti!$B$7)*(1-Parametri!$B$3))*(1+Parametri!$B$4)+Ferramenta!$D$11+Coefficienti!$B$8*Parametri!$B$5,2)*(1+Parametri!$B$6),2)</f>
        <v>1082.45</v>
      </c>
      <c r="C14" s="4" t="n">
        <f aca="false">ROUND(ROUND(((Coefficienti!$B$1+Coefficienti!$B$2*C$2+Coefficienti!$B$3*$A14)*Parametri!$B$1*(1-Parametri!$B$2)+((Coefficienti!$B$4+Coefficienti!$B$5*C$2+Coefficienti!$B$6*$A14)+Coefficienti!$B$7)*(1-Parametri!$B$3))*(1+Parametri!$B$4)+Ferramenta!$D$11+Coefficienti!$B$8*Parametri!$B$5,2)*(1+Parametri!$B$6),2)</f>
        <v>1102.48</v>
      </c>
      <c r="D14" s="4" t="n">
        <f aca="false">ROUND(ROUND(((Coefficienti!$B$1+Coefficienti!$B$2*D$2+Coefficienti!$B$3*$A14)*Parametri!$B$1*(1-Parametri!$B$2)+((Coefficienti!$B$4+Coefficienti!$B$5*D$2+Coefficienti!$B$6*$A14)+Coefficienti!$B$7)*(1-Parametri!$B$3))*(1+Parametri!$B$4)+Ferramenta!$D$11+Coefficienti!$B$8*Parametri!$B$5,2)*(1+Parametri!$B$6),2)</f>
        <v>1122.51</v>
      </c>
      <c r="E14" s="4" t="n">
        <f aca="false">ROUND(ROUND(((Coefficienti!$B$1+Coefficienti!$B$2*E$2+Coefficienti!$B$3*$A14)*Parametri!$B$1*(1-Parametri!$B$2)+((Coefficienti!$B$4+Coefficienti!$B$5*E$2+Coefficienti!$B$6*$A14)+Coefficienti!$B$7)*(1-Parametri!$B$3))*(1+Parametri!$B$4)+Ferramenta!$D$11+Coefficienti!$B$8*Parametri!$B$5,2)*(1+Parametri!$B$6),2)</f>
        <v>1142.54</v>
      </c>
      <c r="F14" s="4" t="n">
        <f aca="false">ROUND(ROUND(((Coefficienti!$B$1+Coefficienti!$B$2*F$2+Coefficienti!$B$3*$A14)*Parametri!$B$1*(1-Parametri!$B$2)+((Coefficienti!$B$4+Coefficienti!$B$5*F$2+Coefficienti!$B$6*$A14)+Coefficienti!$B$7)*(1-Parametri!$B$3))*(1+Parametri!$B$4)+Ferramenta!$D$11+Coefficienti!$B$8*Parametri!$B$5,2)*(1+Parametri!$B$6),2)</f>
        <v>1162.61</v>
      </c>
      <c r="G14" s="4" t="n">
        <f aca="false">ROUND(ROUND(((Coefficienti!$B$1+Coefficienti!$B$2*G$2+Coefficienti!$B$3*$A14)*Parametri!$B$1*(1-Parametri!$B$2)+((Coefficienti!$B$4+Coefficienti!$B$5*G$2+Coefficienti!$B$6*$A14)+Coefficienti!$B$7)*(1-Parametri!$B$3))*(1+Parametri!$B$4)+Ferramenta!$D$11+Coefficienti!$B$8*Parametri!$B$5,2)*(1+Parametri!$B$6),2)</f>
        <v>1182.64</v>
      </c>
      <c r="H14" s="4" t="n">
        <f aca="false">ROUND(ROUND(((Coefficienti!$B$1+Coefficienti!$B$2*H$2+Coefficienti!$B$3*$A14)*Parametri!$B$1*(1-Parametri!$B$2)+((Coefficienti!$B$4+Coefficienti!$B$5*H$2+Coefficienti!$B$6*$A14)+Coefficienti!$B$7)*(1-Parametri!$B$3))*(1+Parametri!$B$4)+Ferramenta!$D$11+Coefficienti!$B$8*Parametri!$B$5,2)*(1+Parametri!$B$6),2)</f>
        <v>1202.67</v>
      </c>
      <c r="I14" s="4" t="n">
        <f aca="false">ROUND(ROUND(((Coefficienti!$B$1+Coefficienti!$B$2*I$2+Coefficienti!$B$3*$A14)*Parametri!$B$1*(1-Parametri!$B$2)+((Coefficienti!$B$4+Coefficienti!$B$5*I$2+Coefficienti!$B$6*$A14)+Coefficienti!$B$7)*(1-Parametri!$B$3))*(1+Parametri!$B$4)+Ferramenta!$D$11+Coefficienti!$B$8*Parametri!$B$5,2)*(1+Parametri!$B$6),2)</f>
        <v>1222.7</v>
      </c>
    </row>
    <row r="15" customFormat="false" ht="15" hidden="false" customHeight="false" outlineLevel="0" collapsed="false">
      <c r="A15" s="2" t="n">
        <v>1700</v>
      </c>
      <c r="B15" s="4" t="n">
        <f aca="false">ROUND(ROUND(((Coefficienti!$B$1+Coefficienti!$B$2*B$2+Coefficienti!$B$3*$A15)*Parametri!$B$1*(1-Parametri!$B$2)+((Coefficienti!$B$4+Coefficienti!$B$5*B$2+Coefficienti!$B$6*$A15)+Coefficienti!$B$7)*(1-Parametri!$B$3))*(1+Parametri!$B$4)+Ferramenta!$D$11+Coefficienti!$B$8*Parametri!$B$5,2)*(1+Parametri!$B$6),2)</f>
        <v>1102.48</v>
      </c>
      <c r="C15" s="4" t="n">
        <f aca="false">ROUND(ROUND(((Coefficienti!$B$1+Coefficienti!$B$2*C$2+Coefficienti!$B$3*$A15)*Parametri!$B$1*(1-Parametri!$B$2)+((Coefficienti!$B$4+Coefficienti!$B$5*C$2+Coefficienti!$B$6*$A15)+Coefficienti!$B$7)*(1-Parametri!$B$3))*(1+Parametri!$B$4)+Ferramenta!$D$11+Coefficienti!$B$8*Parametri!$B$5,2)*(1+Parametri!$B$6),2)</f>
        <v>1122.51</v>
      </c>
      <c r="D15" s="4" t="n">
        <f aca="false">ROUND(ROUND(((Coefficienti!$B$1+Coefficienti!$B$2*D$2+Coefficienti!$B$3*$A15)*Parametri!$B$1*(1-Parametri!$B$2)+((Coefficienti!$B$4+Coefficienti!$B$5*D$2+Coefficienti!$B$6*$A15)+Coefficienti!$B$7)*(1-Parametri!$B$3))*(1+Parametri!$B$4)+Ferramenta!$D$11+Coefficienti!$B$8*Parametri!$B$5,2)*(1+Parametri!$B$6),2)</f>
        <v>1142.54</v>
      </c>
      <c r="E15" s="4" t="n">
        <f aca="false">ROUND(ROUND(((Coefficienti!$B$1+Coefficienti!$B$2*E$2+Coefficienti!$B$3*$A15)*Parametri!$B$1*(1-Parametri!$B$2)+((Coefficienti!$B$4+Coefficienti!$B$5*E$2+Coefficienti!$B$6*$A15)+Coefficienti!$B$7)*(1-Parametri!$B$3))*(1+Parametri!$B$4)+Ferramenta!$D$11+Coefficienti!$B$8*Parametri!$B$5,2)*(1+Parametri!$B$6),2)</f>
        <v>1162.61</v>
      </c>
      <c r="F15" s="4" t="n">
        <f aca="false">ROUND(ROUND(((Coefficienti!$B$1+Coefficienti!$B$2*F$2+Coefficienti!$B$3*$A15)*Parametri!$B$1*(1-Parametri!$B$2)+((Coefficienti!$B$4+Coefficienti!$B$5*F$2+Coefficienti!$B$6*$A15)+Coefficienti!$B$7)*(1-Parametri!$B$3))*(1+Parametri!$B$4)+Ferramenta!$D$11+Coefficienti!$B$8*Parametri!$B$5,2)*(1+Parametri!$B$6),2)</f>
        <v>1182.64</v>
      </c>
      <c r="G15" s="4" t="n">
        <f aca="false">ROUND(ROUND(((Coefficienti!$B$1+Coefficienti!$B$2*G$2+Coefficienti!$B$3*$A15)*Parametri!$B$1*(1-Parametri!$B$2)+((Coefficienti!$B$4+Coefficienti!$B$5*G$2+Coefficienti!$B$6*$A15)+Coefficienti!$B$7)*(1-Parametri!$B$3))*(1+Parametri!$B$4)+Ferramenta!$D$11+Coefficienti!$B$8*Parametri!$B$5,2)*(1+Parametri!$B$6),2)</f>
        <v>1202.67</v>
      </c>
      <c r="H15" s="4" t="n">
        <f aca="false">ROUND(ROUND(((Coefficienti!$B$1+Coefficienti!$B$2*H$2+Coefficienti!$B$3*$A15)*Parametri!$B$1*(1-Parametri!$B$2)+((Coefficienti!$B$4+Coefficienti!$B$5*H$2+Coefficienti!$B$6*$A15)+Coefficienti!$B$7)*(1-Parametri!$B$3))*(1+Parametri!$B$4)+Ferramenta!$D$11+Coefficienti!$B$8*Parametri!$B$5,2)*(1+Parametri!$B$6),2)</f>
        <v>1222.7</v>
      </c>
      <c r="I15" s="4" t="n">
        <f aca="false">ROUND(ROUND(((Coefficienti!$B$1+Coefficienti!$B$2*I$2+Coefficienti!$B$3*$A15)*Parametri!$B$1*(1-Parametri!$B$2)+((Coefficienti!$B$4+Coefficienti!$B$5*I$2+Coefficienti!$B$6*$A15)+Coefficienti!$B$7)*(1-Parametri!$B$3))*(1+Parametri!$B$4)+Ferramenta!$D$11+Coefficienti!$B$8*Parametri!$B$5,2)*(1+Parametri!$B$6),2)</f>
        <v>1242.74</v>
      </c>
    </row>
    <row r="16" customFormat="false" ht="15" hidden="false" customHeight="false" outlineLevel="0" collapsed="false">
      <c r="A16" s="2" t="n">
        <v>1800</v>
      </c>
      <c r="B16" s="4" t="n">
        <f aca="false">ROUND(ROUND(((Coefficienti!$B$1+Coefficienti!$B$2*B$2+Coefficienti!$B$3*$A16)*Parametri!$B$1*(1-Parametri!$B$2)+((Coefficienti!$B$4+Coefficienti!$B$5*B$2+Coefficienti!$B$6*$A16)+Coefficienti!$B$7)*(1-Parametri!$B$3))*(1+Parametri!$B$4)+Ferramenta!$D$11+Coefficienti!$B$8*Parametri!$B$5,2)*(1+Parametri!$B$6),2)</f>
        <v>1122.51</v>
      </c>
      <c r="C16" s="4" t="n">
        <f aca="false">ROUND(ROUND(((Coefficienti!$B$1+Coefficienti!$B$2*C$2+Coefficienti!$B$3*$A16)*Parametri!$B$1*(1-Parametri!$B$2)+((Coefficienti!$B$4+Coefficienti!$B$5*C$2+Coefficienti!$B$6*$A16)+Coefficienti!$B$7)*(1-Parametri!$B$3))*(1+Parametri!$B$4)+Ferramenta!$D$11+Coefficienti!$B$8*Parametri!$B$5,2)*(1+Parametri!$B$6),2)</f>
        <v>1142.54</v>
      </c>
      <c r="D16" s="4" t="n">
        <f aca="false">ROUND(ROUND(((Coefficienti!$B$1+Coefficienti!$B$2*D$2+Coefficienti!$B$3*$A16)*Parametri!$B$1*(1-Parametri!$B$2)+((Coefficienti!$B$4+Coefficienti!$B$5*D$2+Coefficienti!$B$6*$A16)+Coefficienti!$B$7)*(1-Parametri!$B$3))*(1+Parametri!$B$4)+Ferramenta!$D$11+Coefficienti!$B$8*Parametri!$B$5,2)*(1+Parametri!$B$6),2)</f>
        <v>1162.61</v>
      </c>
      <c r="E16" s="4" t="n">
        <f aca="false">ROUND(ROUND(((Coefficienti!$B$1+Coefficienti!$B$2*E$2+Coefficienti!$B$3*$A16)*Parametri!$B$1*(1-Parametri!$B$2)+((Coefficienti!$B$4+Coefficienti!$B$5*E$2+Coefficienti!$B$6*$A16)+Coefficienti!$B$7)*(1-Parametri!$B$3))*(1+Parametri!$B$4)+Ferramenta!$D$11+Coefficienti!$B$8*Parametri!$B$5,2)*(1+Parametri!$B$6),2)</f>
        <v>1182.64</v>
      </c>
      <c r="F16" s="4" t="n">
        <f aca="false">ROUND(ROUND(((Coefficienti!$B$1+Coefficienti!$B$2*F$2+Coefficienti!$B$3*$A16)*Parametri!$B$1*(1-Parametri!$B$2)+((Coefficienti!$B$4+Coefficienti!$B$5*F$2+Coefficienti!$B$6*$A16)+Coefficienti!$B$7)*(1-Parametri!$B$3))*(1+Parametri!$B$4)+Ferramenta!$D$11+Coefficienti!$B$8*Parametri!$B$5,2)*(1+Parametri!$B$6),2)</f>
        <v>1202.67</v>
      </c>
      <c r="G16" s="4" t="n">
        <f aca="false">ROUND(ROUND(((Coefficienti!$B$1+Coefficienti!$B$2*G$2+Coefficienti!$B$3*$A16)*Parametri!$B$1*(1-Parametri!$B$2)+((Coefficienti!$B$4+Coefficienti!$B$5*G$2+Coefficienti!$B$6*$A16)+Coefficienti!$B$7)*(1-Parametri!$B$3))*(1+Parametri!$B$4)+Ferramenta!$D$11+Coefficienti!$B$8*Parametri!$B$5,2)*(1+Parametri!$B$6),2)</f>
        <v>1222.7</v>
      </c>
      <c r="H16" s="4" t="n">
        <f aca="false">ROUND(ROUND(((Coefficienti!$B$1+Coefficienti!$B$2*H$2+Coefficienti!$B$3*$A16)*Parametri!$B$1*(1-Parametri!$B$2)+((Coefficienti!$B$4+Coefficienti!$B$5*H$2+Coefficienti!$B$6*$A16)+Coefficienti!$B$7)*(1-Parametri!$B$3))*(1+Parametri!$B$4)+Ferramenta!$D$11+Coefficienti!$B$8*Parametri!$B$5,2)*(1+Parametri!$B$6),2)</f>
        <v>1242.74</v>
      </c>
      <c r="I16" s="4" t="n">
        <f aca="false">ROUND(ROUND(((Coefficienti!$B$1+Coefficienti!$B$2*I$2+Coefficienti!$B$3*$A16)*Parametri!$B$1*(1-Parametri!$B$2)+((Coefficienti!$B$4+Coefficienti!$B$5*I$2+Coefficienti!$B$6*$A16)+Coefficienti!$B$7)*(1-Parametri!$B$3))*(1+Parametri!$B$4)+Ferramenta!$D$11+Coefficienti!$B$8*Parametri!$B$5,2)*(1+Parametri!$B$6),2)</f>
        <v>1262.77</v>
      </c>
    </row>
    <row r="17" customFormat="false" ht="15" hidden="false" customHeight="false" outlineLevel="0" collapsed="false">
      <c r="A17" s="2" t="n">
        <v>1900</v>
      </c>
      <c r="B17" s="4" t="n">
        <f aca="false">ROUND(ROUND(((Coefficienti!$B$1+Coefficienti!$B$2*B$2+Coefficienti!$B$3*$A17)*Parametri!$B$1*(1-Parametri!$B$2)+((Coefficienti!$B$4+Coefficienti!$B$5*B$2+Coefficienti!$B$6*$A17)+Coefficienti!$B$7)*(1-Parametri!$B$3))*(1+Parametri!$B$4)+Ferramenta!$D$11+Coefficienti!$B$8*Parametri!$B$5,2)*(1+Parametri!$B$6),2)</f>
        <v>1142.54</v>
      </c>
      <c r="C17" s="4" t="n">
        <f aca="false">ROUND(ROUND(((Coefficienti!$B$1+Coefficienti!$B$2*C$2+Coefficienti!$B$3*$A17)*Parametri!$B$1*(1-Parametri!$B$2)+((Coefficienti!$B$4+Coefficienti!$B$5*C$2+Coefficienti!$B$6*$A17)+Coefficienti!$B$7)*(1-Parametri!$B$3))*(1+Parametri!$B$4)+Ferramenta!$D$11+Coefficienti!$B$8*Parametri!$B$5,2)*(1+Parametri!$B$6),2)</f>
        <v>1162.61</v>
      </c>
      <c r="D17" s="4" t="n">
        <f aca="false">ROUND(ROUND(((Coefficienti!$B$1+Coefficienti!$B$2*D$2+Coefficienti!$B$3*$A17)*Parametri!$B$1*(1-Parametri!$B$2)+((Coefficienti!$B$4+Coefficienti!$B$5*D$2+Coefficienti!$B$6*$A17)+Coefficienti!$B$7)*(1-Parametri!$B$3))*(1+Parametri!$B$4)+Ferramenta!$D$11+Coefficienti!$B$8*Parametri!$B$5,2)*(1+Parametri!$B$6),2)</f>
        <v>1182.64</v>
      </c>
      <c r="E17" s="4" t="n">
        <f aca="false">ROUND(ROUND(((Coefficienti!$B$1+Coefficienti!$B$2*E$2+Coefficienti!$B$3*$A17)*Parametri!$B$1*(1-Parametri!$B$2)+((Coefficienti!$B$4+Coefficienti!$B$5*E$2+Coefficienti!$B$6*$A17)+Coefficienti!$B$7)*(1-Parametri!$B$3))*(1+Parametri!$B$4)+Ferramenta!$D$11+Coefficienti!$B$8*Parametri!$B$5,2)*(1+Parametri!$B$6),2)</f>
        <v>1202.67</v>
      </c>
      <c r="F17" s="4" t="n">
        <f aca="false">ROUND(ROUND(((Coefficienti!$B$1+Coefficienti!$B$2*F$2+Coefficienti!$B$3*$A17)*Parametri!$B$1*(1-Parametri!$B$2)+((Coefficienti!$B$4+Coefficienti!$B$5*F$2+Coefficienti!$B$6*$A17)+Coefficienti!$B$7)*(1-Parametri!$B$3))*(1+Parametri!$B$4)+Ferramenta!$D$11+Coefficienti!$B$8*Parametri!$B$5,2)*(1+Parametri!$B$6),2)</f>
        <v>1222.7</v>
      </c>
      <c r="G17" s="4" t="n">
        <f aca="false">ROUND(ROUND(((Coefficienti!$B$1+Coefficienti!$B$2*G$2+Coefficienti!$B$3*$A17)*Parametri!$B$1*(1-Parametri!$B$2)+((Coefficienti!$B$4+Coefficienti!$B$5*G$2+Coefficienti!$B$6*$A17)+Coefficienti!$B$7)*(1-Parametri!$B$3))*(1+Parametri!$B$4)+Ferramenta!$D$11+Coefficienti!$B$8*Parametri!$B$5,2)*(1+Parametri!$B$6),2)</f>
        <v>1242.74</v>
      </c>
      <c r="H17" s="4" t="n">
        <f aca="false">ROUND(ROUND(((Coefficienti!$B$1+Coefficienti!$B$2*H$2+Coefficienti!$B$3*$A17)*Parametri!$B$1*(1-Parametri!$B$2)+((Coefficienti!$B$4+Coefficienti!$B$5*H$2+Coefficienti!$B$6*$A17)+Coefficienti!$B$7)*(1-Parametri!$B$3))*(1+Parametri!$B$4)+Ferramenta!$D$11+Coefficienti!$B$8*Parametri!$B$5,2)*(1+Parametri!$B$6),2)</f>
        <v>1262.77</v>
      </c>
      <c r="I17" s="4" t="n">
        <f aca="false">ROUND(ROUND(((Coefficienti!$B$1+Coefficienti!$B$2*I$2+Coefficienti!$B$3*$A17)*Parametri!$B$1*(1-Parametri!$B$2)+((Coefficienti!$B$4+Coefficienti!$B$5*I$2+Coefficienti!$B$6*$A17)+Coefficienti!$B$7)*(1-Parametri!$B$3))*(1+Parametri!$B$4)+Ferramenta!$D$11+Coefficienti!$B$8*Parametri!$B$5,2)*(1+Parametri!$B$6),2)</f>
        <v>1282.8</v>
      </c>
    </row>
    <row r="18" customFormat="false" ht="15" hidden="false" customHeight="false" outlineLevel="0" collapsed="false">
      <c r="A18" s="2" t="n">
        <v>2000</v>
      </c>
      <c r="B18" s="4" t="n">
        <f aca="false">ROUND(ROUND(((Coefficienti!$B$1+Coefficienti!$B$2*B$2+Coefficienti!$B$3*$A18)*Parametri!$B$1*(1-Parametri!$B$2)+((Coefficienti!$B$4+Coefficienti!$B$5*B$2+Coefficienti!$B$6*$A18)+Coefficienti!$B$7)*(1-Parametri!$B$3))*(1+Parametri!$B$4)+Ferramenta!$D$11+Coefficienti!$B$8*Parametri!$B$5,2)*(1+Parametri!$B$6),2)</f>
        <v>1162.61</v>
      </c>
      <c r="C18" s="4" t="n">
        <f aca="false">ROUND(ROUND(((Coefficienti!$B$1+Coefficienti!$B$2*C$2+Coefficienti!$B$3*$A18)*Parametri!$B$1*(1-Parametri!$B$2)+((Coefficienti!$B$4+Coefficienti!$B$5*C$2+Coefficienti!$B$6*$A18)+Coefficienti!$B$7)*(1-Parametri!$B$3))*(1+Parametri!$B$4)+Ferramenta!$D$11+Coefficienti!$B$8*Parametri!$B$5,2)*(1+Parametri!$B$6),2)</f>
        <v>1182.64</v>
      </c>
      <c r="D18" s="4" t="n">
        <f aca="false">ROUND(ROUND(((Coefficienti!$B$1+Coefficienti!$B$2*D$2+Coefficienti!$B$3*$A18)*Parametri!$B$1*(1-Parametri!$B$2)+((Coefficienti!$B$4+Coefficienti!$B$5*D$2+Coefficienti!$B$6*$A18)+Coefficienti!$B$7)*(1-Parametri!$B$3))*(1+Parametri!$B$4)+Ferramenta!$D$11+Coefficienti!$B$8*Parametri!$B$5,2)*(1+Parametri!$B$6),2)</f>
        <v>1202.67</v>
      </c>
      <c r="E18" s="4" t="n">
        <f aca="false">ROUND(ROUND(((Coefficienti!$B$1+Coefficienti!$B$2*E$2+Coefficienti!$B$3*$A18)*Parametri!$B$1*(1-Parametri!$B$2)+((Coefficienti!$B$4+Coefficienti!$B$5*E$2+Coefficienti!$B$6*$A18)+Coefficienti!$B$7)*(1-Parametri!$B$3))*(1+Parametri!$B$4)+Ferramenta!$D$11+Coefficienti!$B$8*Parametri!$B$5,2)*(1+Parametri!$B$6),2)</f>
        <v>1222.7</v>
      </c>
      <c r="F18" s="4" t="n">
        <f aca="false">ROUND(ROUND(((Coefficienti!$B$1+Coefficienti!$B$2*F$2+Coefficienti!$B$3*$A18)*Parametri!$B$1*(1-Parametri!$B$2)+((Coefficienti!$B$4+Coefficienti!$B$5*F$2+Coefficienti!$B$6*$A18)+Coefficienti!$B$7)*(1-Parametri!$B$3))*(1+Parametri!$B$4)+Ferramenta!$D$11+Coefficienti!$B$8*Parametri!$B$5,2)*(1+Parametri!$B$6),2)</f>
        <v>1242.74</v>
      </c>
      <c r="G18" s="4" t="n">
        <f aca="false">ROUND(ROUND(((Coefficienti!$B$1+Coefficienti!$B$2*G$2+Coefficienti!$B$3*$A18)*Parametri!$B$1*(1-Parametri!$B$2)+((Coefficienti!$B$4+Coefficienti!$B$5*G$2+Coefficienti!$B$6*$A18)+Coefficienti!$B$7)*(1-Parametri!$B$3))*(1+Parametri!$B$4)+Ferramenta!$D$11+Coefficienti!$B$8*Parametri!$B$5,2)*(1+Parametri!$B$6),2)</f>
        <v>1262.77</v>
      </c>
      <c r="H18" s="4" t="n">
        <f aca="false">ROUND(ROUND(((Coefficienti!$B$1+Coefficienti!$B$2*H$2+Coefficienti!$B$3*$A18)*Parametri!$B$1*(1-Parametri!$B$2)+((Coefficienti!$B$4+Coefficienti!$B$5*H$2+Coefficienti!$B$6*$A18)+Coefficienti!$B$7)*(1-Parametri!$B$3))*(1+Parametri!$B$4)+Ferramenta!$D$11+Coefficienti!$B$8*Parametri!$B$5,2)*(1+Parametri!$B$6),2)</f>
        <v>1282.8</v>
      </c>
      <c r="I18" s="4" t="n">
        <f aca="false">ROUND(ROUND(((Coefficienti!$B$1+Coefficienti!$B$2*I$2+Coefficienti!$B$3*$A18)*Parametri!$B$1*(1-Parametri!$B$2)+((Coefficienti!$B$4+Coefficienti!$B$5*I$2+Coefficienti!$B$6*$A18)+Coefficienti!$B$7)*(1-Parametri!$B$3))*(1+Parametri!$B$4)+Ferramenta!$D$11+Coefficienti!$B$8*Parametri!$B$5,2)*(1+Parametri!$B$6),2)</f>
        <v>1302.86</v>
      </c>
    </row>
    <row r="21" customFormat="false" ht="15" hidden="false" customHeight="false" outlineLevel="0" collapsed="false">
      <c r="A21" s="1" t="s">
        <v>2</v>
      </c>
    </row>
    <row r="22" customFormat="false" ht="15" hidden="false" customHeight="false" outlineLevel="0" collapsed="false">
      <c r="A22" s="2" t="s">
        <v>1</v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 customFormat="false" ht="15" hidden="false" customHeight="false" outlineLevel="0" collapsed="false">
      <c r="A23" s="2" t="n">
        <v>500</v>
      </c>
      <c r="B23" s="4" t="n">
        <f aca="false">ROUND(((Coefficienti!$B$1+Coefficienti!$B$2*B$22+Coefficienti!$B$3*$A23)*Parametri!$B$1*(1-Parametri!$B$2)+((Coefficienti!$B$4+Coefficienti!$B$5*B$22+Coefficienti!$B$6*$A23)+Coefficienti!$B$7)*(1-Parametri!$B$3))*(1+Parametri!$B$4)+Ferramenta!$D$11+Coefficienti!$B$8*Parametri!$B$5,2)</f>
        <v>275.41</v>
      </c>
      <c r="C23" s="4" t="n">
        <f aca="false">ROUND(((Coefficienti!$B$1+Coefficienti!$B$2*C$22+Coefficienti!$B$3*$A23)*Parametri!$B$1*(1-Parametri!$B$2)+((Coefficienti!$B$4+Coefficienti!$B$5*C$22+Coefficienti!$B$6*$A23)+Coefficienti!$B$7)*(1-Parametri!$B$3))*(1+Parametri!$B$4)+Ferramenta!$D$11+Coefficienti!$B$8*Parametri!$B$5,2)</f>
        <v>281.81</v>
      </c>
      <c r="D23" s="4" t="n">
        <f aca="false">ROUND(((Coefficienti!$B$1+Coefficienti!$B$2*D$22+Coefficienti!$B$3*$A23)*Parametri!$B$1*(1-Parametri!$B$2)+((Coefficienti!$B$4+Coefficienti!$B$5*D$22+Coefficienti!$B$6*$A23)+Coefficienti!$B$7)*(1-Parametri!$B$3))*(1+Parametri!$B$4)+Ferramenta!$D$11+Coefficienti!$B$8*Parametri!$B$5,2)</f>
        <v>288.22</v>
      </c>
      <c r="E23" s="4" t="n">
        <f aca="false">ROUND(((Coefficienti!$B$1+Coefficienti!$B$2*E$22+Coefficienti!$B$3*$A23)*Parametri!$B$1*(1-Parametri!$B$2)+((Coefficienti!$B$4+Coefficienti!$B$5*E$22+Coefficienti!$B$6*$A23)+Coefficienti!$B$7)*(1-Parametri!$B$3))*(1+Parametri!$B$4)+Ferramenta!$D$11+Coefficienti!$B$8*Parametri!$B$5,2)</f>
        <v>294.62</v>
      </c>
      <c r="F23" s="4" t="n">
        <f aca="false">ROUND(((Coefficienti!$B$1+Coefficienti!$B$2*F$22+Coefficienti!$B$3*$A23)*Parametri!$B$1*(1-Parametri!$B$2)+((Coefficienti!$B$4+Coefficienti!$B$5*F$22+Coefficienti!$B$6*$A23)+Coefficienti!$B$7)*(1-Parametri!$B$3))*(1+Parametri!$B$4)+Ferramenta!$D$11+Coefficienti!$B$8*Parametri!$B$5,2)</f>
        <v>301.02</v>
      </c>
      <c r="G23" s="4" t="n">
        <f aca="false">ROUND(((Coefficienti!$B$1+Coefficienti!$B$2*G$22+Coefficienti!$B$3*$A23)*Parametri!$B$1*(1-Parametri!$B$2)+((Coefficienti!$B$4+Coefficienti!$B$5*G$22+Coefficienti!$B$6*$A23)+Coefficienti!$B$7)*(1-Parametri!$B$3))*(1+Parametri!$B$4)+Ferramenta!$D$11+Coefficienti!$B$8*Parametri!$B$5,2)</f>
        <v>307.42</v>
      </c>
      <c r="H23" s="4" t="n">
        <f aca="false">ROUND(((Coefficienti!$B$1+Coefficienti!$B$2*H$22+Coefficienti!$B$3*$A23)*Parametri!$B$1*(1-Parametri!$B$2)+((Coefficienti!$B$4+Coefficienti!$B$5*H$22+Coefficienti!$B$6*$A23)+Coefficienti!$B$7)*(1-Parametri!$B$3))*(1+Parametri!$B$4)+Ferramenta!$D$11+Coefficienti!$B$8*Parametri!$B$5,2)</f>
        <v>313.82</v>
      </c>
      <c r="I23" s="4" t="n">
        <f aca="false">ROUND(((Coefficienti!$B$1+Coefficienti!$B$2*I$22+Coefficienti!$B$3*$A23)*Parametri!$B$1*(1-Parametri!$B$2)+((Coefficienti!$B$4+Coefficienti!$B$5*I$22+Coefficienti!$B$6*$A23)+Coefficienti!$B$7)*(1-Parametri!$B$3))*(1+Parametri!$B$4)+Ferramenta!$D$11+Coefficienti!$B$8*Parametri!$B$5,2)</f>
        <v>320.22</v>
      </c>
    </row>
    <row r="24" customFormat="false" ht="15" hidden="false" customHeight="false" outlineLevel="0" collapsed="false">
      <c r="A24" s="2" t="n">
        <v>600</v>
      </c>
      <c r="B24" s="4" t="n">
        <f aca="false">ROUND(((Coefficienti!$B$1+Coefficienti!$B$2*B$22+Coefficienti!$B$3*$A24)*Parametri!$B$1*(1-Parametri!$B$2)+((Coefficienti!$B$4+Coefficienti!$B$5*B$22+Coefficienti!$B$6*$A24)+Coefficienti!$B$7)*(1-Parametri!$B$3))*(1+Parametri!$B$4)+Ferramenta!$D$11+Coefficienti!$B$8*Parametri!$B$5,2)</f>
        <v>281.81</v>
      </c>
      <c r="C24" s="4" t="n">
        <f aca="false">ROUND(((Coefficienti!$B$1+Coefficienti!$B$2*C$22+Coefficienti!$B$3*$A24)*Parametri!$B$1*(1-Parametri!$B$2)+((Coefficienti!$B$4+Coefficienti!$B$5*C$22+Coefficienti!$B$6*$A24)+Coefficienti!$B$7)*(1-Parametri!$B$3))*(1+Parametri!$B$4)+Ferramenta!$D$11+Coefficienti!$B$8*Parametri!$B$5,2)</f>
        <v>288.22</v>
      </c>
      <c r="D24" s="4" t="n">
        <f aca="false">ROUND(((Coefficienti!$B$1+Coefficienti!$B$2*D$22+Coefficienti!$B$3*$A24)*Parametri!$B$1*(1-Parametri!$B$2)+((Coefficienti!$B$4+Coefficienti!$B$5*D$22+Coefficienti!$B$6*$A24)+Coefficienti!$B$7)*(1-Parametri!$B$3))*(1+Parametri!$B$4)+Ferramenta!$D$11+Coefficienti!$B$8*Parametri!$B$5,2)</f>
        <v>294.62</v>
      </c>
      <c r="E24" s="4" t="n">
        <f aca="false">ROUND(((Coefficienti!$B$1+Coefficienti!$B$2*E$22+Coefficienti!$B$3*$A24)*Parametri!$B$1*(1-Parametri!$B$2)+((Coefficienti!$B$4+Coefficienti!$B$5*E$22+Coefficienti!$B$6*$A24)+Coefficienti!$B$7)*(1-Parametri!$B$3))*(1+Parametri!$B$4)+Ferramenta!$D$11+Coefficienti!$B$8*Parametri!$B$5,2)</f>
        <v>301.02</v>
      </c>
      <c r="F24" s="4" t="n">
        <f aca="false">ROUND(((Coefficienti!$B$1+Coefficienti!$B$2*F$22+Coefficienti!$B$3*$A24)*Parametri!$B$1*(1-Parametri!$B$2)+((Coefficienti!$B$4+Coefficienti!$B$5*F$22+Coefficienti!$B$6*$A24)+Coefficienti!$B$7)*(1-Parametri!$B$3))*(1+Parametri!$B$4)+Ferramenta!$D$11+Coefficienti!$B$8*Parametri!$B$5,2)</f>
        <v>307.42</v>
      </c>
      <c r="G24" s="4" t="n">
        <f aca="false">ROUND(((Coefficienti!$B$1+Coefficienti!$B$2*G$22+Coefficienti!$B$3*$A24)*Parametri!$B$1*(1-Parametri!$B$2)+((Coefficienti!$B$4+Coefficienti!$B$5*G$22+Coefficienti!$B$6*$A24)+Coefficienti!$B$7)*(1-Parametri!$B$3))*(1+Parametri!$B$4)+Ferramenta!$D$11+Coefficienti!$B$8*Parametri!$B$5,2)</f>
        <v>313.82</v>
      </c>
      <c r="H24" s="4" t="n">
        <f aca="false">ROUND(((Coefficienti!$B$1+Coefficienti!$B$2*H$22+Coefficienti!$B$3*$A24)*Parametri!$B$1*(1-Parametri!$B$2)+((Coefficienti!$B$4+Coefficienti!$B$5*H$22+Coefficienti!$B$6*$A24)+Coefficienti!$B$7)*(1-Parametri!$B$3))*(1+Parametri!$B$4)+Ferramenta!$D$11+Coefficienti!$B$8*Parametri!$B$5,2)</f>
        <v>320.22</v>
      </c>
      <c r="I24" s="4" t="n">
        <f aca="false">ROUND(((Coefficienti!$B$1+Coefficienti!$B$2*I$22+Coefficienti!$B$3*$A24)*Parametri!$B$1*(1-Parametri!$B$2)+((Coefficienti!$B$4+Coefficienti!$B$5*I$22+Coefficienti!$B$6*$A24)+Coefficienti!$B$7)*(1-Parametri!$B$3))*(1+Parametri!$B$4)+Ferramenta!$D$11+Coefficienti!$B$8*Parametri!$B$5,2)</f>
        <v>326.63</v>
      </c>
    </row>
    <row r="25" customFormat="false" ht="15" hidden="false" customHeight="false" outlineLevel="0" collapsed="false">
      <c r="A25" s="2" t="n">
        <v>700</v>
      </c>
      <c r="B25" s="4" t="n">
        <f aca="false">ROUND(((Coefficienti!$B$1+Coefficienti!$B$2*B$22+Coefficienti!$B$3*$A25)*Parametri!$B$1*(1-Parametri!$B$2)+((Coefficienti!$B$4+Coefficienti!$B$5*B$22+Coefficienti!$B$6*$A25)+Coefficienti!$B$7)*(1-Parametri!$B$3))*(1+Parametri!$B$4)+Ferramenta!$D$11+Coefficienti!$B$8*Parametri!$B$5,2)</f>
        <v>288.22</v>
      </c>
      <c r="C25" s="4" t="n">
        <f aca="false">ROUND(((Coefficienti!$B$1+Coefficienti!$B$2*C$22+Coefficienti!$B$3*$A25)*Parametri!$B$1*(1-Parametri!$B$2)+((Coefficienti!$B$4+Coefficienti!$B$5*C$22+Coefficienti!$B$6*$A25)+Coefficienti!$B$7)*(1-Parametri!$B$3))*(1+Parametri!$B$4)+Ferramenta!$D$11+Coefficienti!$B$8*Parametri!$B$5,2)</f>
        <v>294.62</v>
      </c>
      <c r="D25" s="4" t="n">
        <f aca="false">ROUND(((Coefficienti!$B$1+Coefficienti!$B$2*D$22+Coefficienti!$B$3*$A25)*Parametri!$B$1*(1-Parametri!$B$2)+((Coefficienti!$B$4+Coefficienti!$B$5*D$22+Coefficienti!$B$6*$A25)+Coefficienti!$B$7)*(1-Parametri!$B$3))*(1+Parametri!$B$4)+Ferramenta!$D$11+Coefficienti!$B$8*Parametri!$B$5,2)</f>
        <v>301.02</v>
      </c>
      <c r="E25" s="4" t="n">
        <f aca="false">ROUND(((Coefficienti!$B$1+Coefficienti!$B$2*E$22+Coefficienti!$B$3*$A25)*Parametri!$B$1*(1-Parametri!$B$2)+((Coefficienti!$B$4+Coefficienti!$B$5*E$22+Coefficienti!$B$6*$A25)+Coefficienti!$B$7)*(1-Parametri!$B$3))*(1+Parametri!$B$4)+Ferramenta!$D$11+Coefficienti!$B$8*Parametri!$B$5,2)</f>
        <v>307.42</v>
      </c>
      <c r="F25" s="4" t="n">
        <f aca="false">ROUND(((Coefficienti!$B$1+Coefficienti!$B$2*F$22+Coefficienti!$B$3*$A25)*Parametri!$B$1*(1-Parametri!$B$2)+((Coefficienti!$B$4+Coefficienti!$B$5*F$22+Coefficienti!$B$6*$A25)+Coefficienti!$B$7)*(1-Parametri!$B$3))*(1+Parametri!$B$4)+Ferramenta!$D$11+Coefficienti!$B$8*Parametri!$B$5,2)</f>
        <v>313.82</v>
      </c>
      <c r="G25" s="4" t="n">
        <f aca="false">ROUND(((Coefficienti!$B$1+Coefficienti!$B$2*G$22+Coefficienti!$B$3*$A25)*Parametri!$B$1*(1-Parametri!$B$2)+((Coefficienti!$B$4+Coefficienti!$B$5*G$22+Coefficienti!$B$6*$A25)+Coefficienti!$B$7)*(1-Parametri!$B$3))*(1+Parametri!$B$4)+Ferramenta!$D$11+Coefficienti!$B$8*Parametri!$B$5,2)</f>
        <v>320.22</v>
      </c>
      <c r="H25" s="4" t="n">
        <f aca="false">ROUND(((Coefficienti!$B$1+Coefficienti!$B$2*H$22+Coefficienti!$B$3*$A25)*Parametri!$B$1*(1-Parametri!$B$2)+((Coefficienti!$B$4+Coefficienti!$B$5*H$22+Coefficienti!$B$6*$A25)+Coefficienti!$B$7)*(1-Parametri!$B$3))*(1+Parametri!$B$4)+Ferramenta!$D$11+Coefficienti!$B$8*Parametri!$B$5,2)</f>
        <v>326.63</v>
      </c>
      <c r="I25" s="4" t="n">
        <f aca="false">ROUND(((Coefficienti!$B$1+Coefficienti!$B$2*I$22+Coefficienti!$B$3*$A25)*Parametri!$B$1*(1-Parametri!$B$2)+((Coefficienti!$B$4+Coefficienti!$B$5*I$22+Coefficienti!$B$6*$A25)+Coefficienti!$B$7)*(1-Parametri!$B$3))*(1+Parametri!$B$4)+Ferramenta!$D$11+Coefficienti!$B$8*Parametri!$B$5,2)</f>
        <v>333.03</v>
      </c>
    </row>
    <row r="26" customFormat="false" ht="15" hidden="false" customHeight="false" outlineLevel="0" collapsed="false">
      <c r="A26" s="2" t="n">
        <v>800</v>
      </c>
      <c r="B26" s="4" t="n">
        <f aca="false">ROUND(((Coefficienti!$B$1+Coefficienti!$B$2*B$22+Coefficienti!$B$3*$A26)*Parametri!$B$1*(1-Parametri!$B$2)+((Coefficienti!$B$4+Coefficienti!$B$5*B$22+Coefficienti!$B$6*$A26)+Coefficienti!$B$7)*(1-Parametri!$B$3))*(1+Parametri!$B$4)+Ferramenta!$D$11+Coefficienti!$B$8*Parametri!$B$5,2)</f>
        <v>294.62</v>
      </c>
      <c r="C26" s="4" t="n">
        <f aca="false">ROUND(((Coefficienti!$B$1+Coefficienti!$B$2*C$22+Coefficienti!$B$3*$A26)*Parametri!$B$1*(1-Parametri!$B$2)+((Coefficienti!$B$4+Coefficienti!$B$5*C$22+Coefficienti!$B$6*$A26)+Coefficienti!$B$7)*(1-Parametri!$B$3))*(1+Parametri!$B$4)+Ferramenta!$D$11+Coefficienti!$B$8*Parametri!$B$5,2)</f>
        <v>301.02</v>
      </c>
      <c r="D26" s="4" t="n">
        <f aca="false">ROUND(((Coefficienti!$B$1+Coefficienti!$B$2*D$22+Coefficienti!$B$3*$A26)*Parametri!$B$1*(1-Parametri!$B$2)+((Coefficienti!$B$4+Coefficienti!$B$5*D$22+Coefficienti!$B$6*$A26)+Coefficienti!$B$7)*(1-Parametri!$B$3))*(1+Parametri!$B$4)+Ferramenta!$D$11+Coefficienti!$B$8*Parametri!$B$5,2)</f>
        <v>307.42</v>
      </c>
      <c r="E26" s="4" t="n">
        <f aca="false">ROUND(((Coefficienti!$B$1+Coefficienti!$B$2*E$22+Coefficienti!$B$3*$A26)*Parametri!$B$1*(1-Parametri!$B$2)+((Coefficienti!$B$4+Coefficienti!$B$5*E$22+Coefficienti!$B$6*$A26)+Coefficienti!$B$7)*(1-Parametri!$B$3))*(1+Parametri!$B$4)+Ferramenta!$D$11+Coefficienti!$B$8*Parametri!$B$5,2)</f>
        <v>313.82</v>
      </c>
      <c r="F26" s="4" t="n">
        <f aca="false">ROUND(((Coefficienti!$B$1+Coefficienti!$B$2*F$22+Coefficienti!$B$3*$A26)*Parametri!$B$1*(1-Parametri!$B$2)+((Coefficienti!$B$4+Coefficienti!$B$5*F$22+Coefficienti!$B$6*$A26)+Coefficienti!$B$7)*(1-Parametri!$B$3))*(1+Parametri!$B$4)+Ferramenta!$D$11+Coefficienti!$B$8*Parametri!$B$5,2)</f>
        <v>320.22</v>
      </c>
      <c r="G26" s="4" t="n">
        <f aca="false">ROUND(((Coefficienti!$B$1+Coefficienti!$B$2*G$22+Coefficienti!$B$3*$A26)*Parametri!$B$1*(1-Parametri!$B$2)+((Coefficienti!$B$4+Coefficienti!$B$5*G$22+Coefficienti!$B$6*$A26)+Coefficienti!$B$7)*(1-Parametri!$B$3))*(1+Parametri!$B$4)+Ferramenta!$D$11+Coefficienti!$B$8*Parametri!$B$5,2)</f>
        <v>326.63</v>
      </c>
      <c r="H26" s="4" t="n">
        <f aca="false">ROUND(((Coefficienti!$B$1+Coefficienti!$B$2*H$22+Coefficienti!$B$3*$A26)*Parametri!$B$1*(1-Parametri!$B$2)+((Coefficienti!$B$4+Coefficienti!$B$5*H$22+Coefficienti!$B$6*$A26)+Coefficienti!$B$7)*(1-Parametri!$B$3))*(1+Parametri!$B$4)+Ferramenta!$D$11+Coefficienti!$B$8*Parametri!$B$5,2)</f>
        <v>333.03</v>
      </c>
      <c r="I26" s="4" t="n">
        <f aca="false">ROUND(((Coefficienti!$B$1+Coefficienti!$B$2*I$22+Coefficienti!$B$3*$A26)*Parametri!$B$1*(1-Parametri!$B$2)+((Coefficienti!$B$4+Coefficienti!$B$5*I$22+Coefficienti!$B$6*$A26)+Coefficienti!$B$7)*(1-Parametri!$B$3))*(1+Parametri!$B$4)+Ferramenta!$D$11+Coefficienti!$B$8*Parametri!$B$5,2)</f>
        <v>339.43</v>
      </c>
    </row>
    <row r="27" customFormat="false" ht="15" hidden="false" customHeight="false" outlineLevel="0" collapsed="false">
      <c r="A27" s="2" t="n">
        <v>900</v>
      </c>
      <c r="B27" s="4" t="n">
        <f aca="false">ROUND(((Coefficienti!$B$1+Coefficienti!$B$2*B$22+Coefficienti!$B$3*$A27)*Parametri!$B$1*(1-Parametri!$B$2)+((Coefficienti!$B$4+Coefficienti!$B$5*B$22+Coefficienti!$B$6*$A27)+Coefficienti!$B$7)*(1-Parametri!$B$3))*(1+Parametri!$B$4)+Ferramenta!$D$11+Coefficienti!$B$8*Parametri!$B$5,2)</f>
        <v>301.02</v>
      </c>
      <c r="C27" s="4" t="n">
        <f aca="false">ROUND(((Coefficienti!$B$1+Coefficienti!$B$2*C$22+Coefficienti!$B$3*$A27)*Parametri!$B$1*(1-Parametri!$B$2)+((Coefficienti!$B$4+Coefficienti!$B$5*C$22+Coefficienti!$B$6*$A27)+Coefficienti!$B$7)*(1-Parametri!$B$3))*(1+Parametri!$B$4)+Ferramenta!$D$11+Coefficienti!$B$8*Parametri!$B$5,2)</f>
        <v>307.42</v>
      </c>
      <c r="D27" s="4" t="n">
        <f aca="false">ROUND(((Coefficienti!$B$1+Coefficienti!$B$2*D$22+Coefficienti!$B$3*$A27)*Parametri!$B$1*(1-Parametri!$B$2)+((Coefficienti!$B$4+Coefficienti!$B$5*D$22+Coefficienti!$B$6*$A27)+Coefficienti!$B$7)*(1-Parametri!$B$3))*(1+Parametri!$B$4)+Ferramenta!$D$11+Coefficienti!$B$8*Parametri!$B$5,2)</f>
        <v>313.82</v>
      </c>
      <c r="E27" s="4" t="n">
        <f aca="false">ROUND(((Coefficienti!$B$1+Coefficienti!$B$2*E$22+Coefficienti!$B$3*$A27)*Parametri!$B$1*(1-Parametri!$B$2)+((Coefficienti!$B$4+Coefficienti!$B$5*E$22+Coefficienti!$B$6*$A27)+Coefficienti!$B$7)*(1-Parametri!$B$3))*(1+Parametri!$B$4)+Ferramenta!$D$11+Coefficienti!$B$8*Parametri!$B$5,2)</f>
        <v>320.22</v>
      </c>
      <c r="F27" s="4" t="n">
        <f aca="false">ROUND(((Coefficienti!$B$1+Coefficienti!$B$2*F$22+Coefficienti!$B$3*$A27)*Parametri!$B$1*(1-Parametri!$B$2)+((Coefficienti!$B$4+Coefficienti!$B$5*F$22+Coefficienti!$B$6*$A27)+Coefficienti!$B$7)*(1-Parametri!$B$3))*(1+Parametri!$B$4)+Ferramenta!$D$11+Coefficienti!$B$8*Parametri!$B$5,2)</f>
        <v>326.63</v>
      </c>
      <c r="G27" s="4" t="n">
        <f aca="false">ROUND(((Coefficienti!$B$1+Coefficienti!$B$2*G$22+Coefficienti!$B$3*$A27)*Parametri!$B$1*(1-Parametri!$B$2)+((Coefficienti!$B$4+Coefficienti!$B$5*G$22+Coefficienti!$B$6*$A27)+Coefficienti!$B$7)*(1-Parametri!$B$3))*(1+Parametri!$B$4)+Ferramenta!$D$11+Coefficienti!$B$8*Parametri!$B$5,2)</f>
        <v>333.03</v>
      </c>
      <c r="H27" s="4" t="n">
        <f aca="false">ROUND(((Coefficienti!$B$1+Coefficienti!$B$2*H$22+Coefficienti!$B$3*$A27)*Parametri!$B$1*(1-Parametri!$B$2)+((Coefficienti!$B$4+Coefficienti!$B$5*H$22+Coefficienti!$B$6*$A27)+Coefficienti!$B$7)*(1-Parametri!$B$3))*(1+Parametri!$B$4)+Ferramenta!$D$11+Coefficienti!$B$8*Parametri!$B$5,2)</f>
        <v>339.43</v>
      </c>
      <c r="I27" s="4" t="n">
        <f aca="false">ROUND(((Coefficienti!$B$1+Coefficienti!$B$2*I$22+Coefficienti!$B$3*$A27)*Parametri!$B$1*(1-Parametri!$B$2)+((Coefficienti!$B$4+Coefficienti!$B$5*I$22+Coefficienti!$B$6*$A27)+Coefficienti!$B$7)*(1-Parametri!$B$3))*(1+Parametri!$B$4)+Ferramenta!$D$11+Coefficienti!$B$8*Parametri!$B$5,2)</f>
        <v>345.83</v>
      </c>
    </row>
    <row r="28" customFormat="false" ht="15" hidden="false" customHeight="false" outlineLevel="0" collapsed="false">
      <c r="A28" s="2" t="n">
        <v>1000</v>
      </c>
      <c r="B28" s="4" t="n">
        <f aca="false">ROUND(((Coefficienti!$B$1+Coefficienti!$B$2*B$22+Coefficienti!$B$3*$A28)*Parametri!$B$1*(1-Parametri!$B$2)+((Coefficienti!$B$4+Coefficienti!$B$5*B$22+Coefficienti!$B$6*$A28)+Coefficienti!$B$7)*(1-Parametri!$B$3))*(1+Parametri!$B$4)+Ferramenta!$D$11+Coefficienti!$B$8*Parametri!$B$5,2)</f>
        <v>307.42</v>
      </c>
      <c r="C28" s="4" t="n">
        <f aca="false">ROUND(((Coefficienti!$B$1+Coefficienti!$B$2*C$22+Coefficienti!$B$3*$A28)*Parametri!$B$1*(1-Parametri!$B$2)+((Coefficienti!$B$4+Coefficienti!$B$5*C$22+Coefficienti!$B$6*$A28)+Coefficienti!$B$7)*(1-Parametri!$B$3))*(1+Parametri!$B$4)+Ferramenta!$D$11+Coefficienti!$B$8*Parametri!$B$5,2)</f>
        <v>313.82</v>
      </c>
      <c r="D28" s="4" t="n">
        <f aca="false">ROUND(((Coefficienti!$B$1+Coefficienti!$B$2*D$22+Coefficienti!$B$3*$A28)*Parametri!$B$1*(1-Parametri!$B$2)+((Coefficienti!$B$4+Coefficienti!$B$5*D$22+Coefficienti!$B$6*$A28)+Coefficienti!$B$7)*(1-Parametri!$B$3))*(1+Parametri!$B$4)+Ferramenta!$D$11+Coefficienti!$B$8*Parametri!$B$5,2)</f>
        <v>320.22</v>
      </c>
      <c r="E28" s="4" t="n">
        <f aca="false">ROUND(((Coefficienti!$B$1+Coefficienti!$B$2*E$22+Coefficienti!$B$3*$A28)*Parametri!$B$1*(1-Parametri!$B$2)+((Coefficienti!$B$4+Coefficienti!$B$5*E$22+Coefficienti!$B$6*$A28)+Coefficienti!$B$7)*(1-Parametri!$B$3))*(1+Parametri!$B$4)+Ferramenta!$D$11+Coefficienti!$B$8*Parametri!$B$5,2)</f>
        <v>326.63</v>
      </c>
      <c r="F28" s="4" t="n">
        <f aca="false">ROUND(((Coefficienti!$B$1+Coefficienti!$B$2*F$22+Coefficienti!$B$3*$A28)*Parametri!$B$1*(1-Parametri!$B$2)+((Coefficienti!$B$4+Coefficienti!$B$5*F$22+Coefficienti!$B$6*$A28)+Coefficienti!$B$7)*(1-Parametri!$B$3))*(1+Parametri!$B$4)+Ferramenta!$D$11+Coefficienti!$B$8*Parametri!$B$5,2)</f>
        <v>333.03</v>
      </c>
      <c r="G28" s="4" t="n">
        <f aca="false">ROUND(((Coefficienti!$B$1+Coefficienti!$B$2*G$22+Coefficienti!$B$3*$A28)*Parametri!$B$1*(1-Parametri!$B$2)+((Coefficienti!$B$4+Coefficienti!$B$5*G$22+Coefficienti!$B$6*$A28)+Coefficienti!$B$7)*(1-Parametri!$B$3))*(1+Parametri!$B$4)+Ferramenta!$D$11+Coefficienti!$B$8*Parametri!$B$5,2)</f>
        <v>339.43</v>
      </c>
      <c r="H28" s="4" t="n">
        <f aca="false">ROUND(((Coefficienti!$B$1+Coefficienti!$B$2*H$22+Coefficienti!$B$3*$A28)*Parametri!$B$1*(1-Parametri!$B$2)+((Coefficienti!$B$4+Coefficienti!$B$5*H$22+Coefficienti!$B$6*$A28)+Coefficienti!$B$7)*(1-Parametri!$B$3))*(1+Parametri!$B$4)+Ferramenta!$D$11+Coefficienti!$B$8*Parametri!$B$5,2)</f>
        <v>345.83</v>
      </c>
      <c r="I28" s="4" t="n">
        <f aca="false">ROUND(((Coefficienti!$B$1+Coefficienti!$B$2*I$22+Coefficienti!$B$3*$A28)*Parametri!$B$1*(1-Parametri!$B$2)+((Coefficienti!$B$4+Coefficienti!$B$5*I$22+Coefficienti!$B$6*$A28)+Coefficienti!$B$7)*(1-Parametri!$B$3))*(1+Parametri!$B$4)+Ferramenta!$D$11+Coefficienti!$B$8*Parametri!$B$5,2)</f>
        <v>352.23</v>
      </c>
    </row>
    <row r="29" customFormat="false" ht="15" hidden="false" customHeight="false" outlineLevel="0" collapsed="false">
      <c r="A29" s="2" t="n">
        <v>1100</v>
      </c>
      <c r="B29" s="4" t="n">
        <f aca="false">ROUND(((Coefficienti!$B$1+Coefficienti!$B$2*B$22+Coefficienti!$B$3*$A29)*Parametri!$B$1*(1-Parametri!$B$2)+((Coefficienti!$B$4+Coefficienti!$B$5*B$22+Coefficienti!$B$6*$A29)+Coefficienti!$B$7)*(1-Parametri!$B$3))*(1+Parametri!$B$4)+Ferramenta!$D$11+Coefficienti!$B$8*Parametri!$B$5,2)</f>
        <v>313.82</v>
      </c>
      <c r="C29" s="4" t="n">
        <f aca="false">ROUND(((Coefficienti!$B$1+Coefficienti!$B$2*C$22+Coefficienti!$B$3*$A29)*Parametri!$B$1*(1-Parametri!$B$2)+((Coefficienti!$B$4+Coefficienti!$B$5*C$22+Coefficienti!$B$6*$A29)+Coefficienti!$B$7)*(1-Parametri!$B$3))*(1+Parametri!$B$4)+Ferramenta!$D$11+Coefficienti!$B$8*Parametri!$B$5,2)</f>
        <v>320.22</v>
      </c>
      <c r="D29" s="4" t="n">
        <f aca="false">ROUND(((Coefficienti!$B$1+Coefficienti!$B$2*D$22+Coefficienti!$B$3*$A29)*Parametri!$B$1*(1-Parametri!$B$2)+((Coefficienti!$B$4+Coefficienti!$B$5*D$22+Coefficienti!$B$6*$A29)+Coefficienti!$B$7)*(1-Parametri!$B$3))*(1+Parametri!$B$4)+Ferramenta!$D$11+Coefficienti!$B$8*Parametri!$B$5,2)</f>
        <v>326.63</v>
      </c>
      <c r="E29" s="4" t="n">
        <f aca="false">ROUND(((Coefficienti!$B$1+Coefficienti!$B$2*E$22+Coefficienti!$B$3*$A29)*Parametri!$B$1*(1-Parametri!$B$2)+((Coefficienti!$B$4+Coefficienti!$B$5*E$22+Coefficienti!$B$6*$A29)+Coefficienti!$B$7)*(1-Parametri!$B$3))*(1+Parametri!$B$4)+Ferramenta!$D$11+Coefficienti!$B$8*Parametri!$B$5,2)</f>
        <v>333.03</v>
      </c>
      <c r="F29" s="4" t="n">
        <f aca="false">ROUND(((Coefficienti!$B$1+Coefficienti!$B$2*F$22+Coefficienti!$B$3*$A29)*Parametri!$B$1*(1-Parametri!$B$2)+((Coefficienti!$B$4+Coefficienti!$B$5*F$22+Coefficienti!$B$6*$A29)+Coefficienti!$B$7)*(1-Parametri!$B$3))*(1+Parametri!$B$4)+Ferramenta!$D$11+Coefficienti!$B$8*Parametri!$B$5,2)</f>
        <v>339.43</v>
      </c>
      <c r="G29" s="4" t="n">
        <f aca="false">ROUND(((Coefficienti!$B$1+Coefficienti!$B$2*G$22+Coefficienti!$B$3*$A29)*Parametri!$B$1*(1-Parametri!$B$2)+((Coefficienti!$B$4+Coefficienti!$B$5*G$22+Coefficienti!$B$6*$A29)+Coefficienti!$B$7)*(1-Parametri!$B$3))*(1+Parametri!$B$4)+Ferramenta!$D$11+Coefficienti!$B$8*Parametri!$B$5,2)</f>
        <v>345.83</v>
      </c>
      <c r="H29" s="4" t="n">
        <f aca="false">ROUND(((Coefficienti!$B$1+Coefficienti!$B$2*H$22+Coefficienti!$B$3*$A29)*Parametri!$B$1*(1-Parametri!$B$2)+((Coefficienti!$B$4+Coefficienti!$B$5*H$22+Coefficienti!$B$6*$A29)+Coefficienti!$B$7)*(1-Parametri!$B$3))*(1+Parametri!$B$4)+Ferramenta!$D$11+Coefficienti!$B$8*Parametri!$B$5,2)</f>
        <v>352.23</v>
      </c>
      <c r="I29" s="4" t="n">
        <f aca="false">ROUND(((Coefficienti!$B$1+Coefficienti!$B$2*I$22+Coefficienti!$B$3*$A29)*Parametri!$B$1*(1-Parametri!$B$2)+((Coefficienti!$B$4+Coefficienti!$B$5*I$22+Coefficienti!$B$6*$A29)+Coefficienti!$B$7)*(1-Parametri!$B$3))*(1+Parametri!$B$4)+Ferramenta!$D$11+Coefficienti!$B$8*Parametri!$B$5,2)</f>
        <v>358.63</v>
      </c>
    </row>
    <row r="30" customFormat="false" ht="15" hidden="false" customHeight="false" outlineLevel="0" collapsed="false">
      <c r="A30" s="2" t="n">
        <v>1200</v>
      </c>
      <c r="B30" s="4" t="n">
        <f aca="false">ROUND(((Coefficienti!$B$1+Coefficienti!$B$2*B$22+Coefficienti!$B$3*$A30)*Parametri!$B$1*(1-Parametri!$B$2)+((Coefficienti!$B$4+Coefficienti!$B$5*B$22+Coefficienti!$B$6*$A30)+Coefficienti!$B$7)*(1-Parametri!$B$3))*(1+Parametri!$B$4)+Ferramenta!$D$11+Coefficienti!$B$8*Parametri!$B$5,2)</f>
        <v>320.22</v>
      </c>
      <c r="C30" s="4" t="n">
        <f aca="false">ROUND(((Coefficienti!$B$1+Coefficienti!$B$2*C$22+Coefficienti!$B$3*$A30)*Parametri!$B$1*(1-Parametri!$B$2)+((Coefficienti!$B$4+Coefficienti!$B$5*C$22+Coefficienti!$B$6*$A30)+Coefficienti!$B$7)*(1-Parametri!$B$3))*(1+Parametri!$B$4)+Ferramenta!$D$11+Coefficienti!$B$8*Parametri!$B$5,2)</f>
        <v>326.63</v>
      </c>
      <c r="D30" s="4" t="n">
        <f aca="false">ROUND(((Coefficienti!$B$1+Coefficienti!$B$2*D$22+Coefficienti!$B$3*$A30)*Parametri!$B$1*(1-Parametri!$B$2)+((Coefficienti!$B$4+Coefficienti!$B$5*D$22+Coefficienti!$B$6*$A30)+Coefficienti!$B$7)*(1-Parametri!$B$3))*(1+Parametri!$B$4)+Ferramenta!$D$11+Coefficienti!$B$8*Parametri!$B$5,2)</f>
        <v>333.03</v>
      </c>
      <c r="E30" s="4" t="n">
        <f aca="false">ROUND(((Coefficienti!$B$1+Coefficienti!$B$2*E$22+Coefficienti!$B$3*$A30)*Parametri!$B$1*(1-Parametri!$B$2)+((Coefficienti!$B$4+Coefficienti!$B$5*E$22+Coefficienti!$B$6*$A30)+Coefficienti!$B$7)*(1-Parametri!$B$3))*(1+Parametri!$B$4)+Ferramenta!$D$11+Coefficienti!$B$8*Parametri!$B$5,2)</f>
        <v>339.43</v>
      </c>
      <c r="F30" s="4" t="n">
        <f aca="false">ROUND(((Coefficienti!$B$1+Coefficienti!$B$2*F$22+Coefficienti!$B$3*$A30)*Parametri!$B$1*(1-Parametri!$B$2)+((Coefficienti!$B$4+Coefficienti!$B$5*F$22+Coefficienti!$B$6*$A30)+Coefficienti!$B$7)*(1-Parametri!$B$3))*(1+Parametri!$B$4)+Ferramenta!$D$11+Coefficienti!$B$8*Parametri!$B$5,2)</f>
        <v>345.83</v>
      </c>
      <c r="G30" s="4" t="n">
        <f aca="false">ROUND(((Coefficienti!$B$1+Coefficienti!$B$2*G$22+Coefficienti!$B$3*$A30)*Parametri!$B$1*(1-Parametri!$B$2)+((Coefficienti!$B$4+Coefficienti!$B$5*G$22+Coefficienti!$B$6*$A30)+Coefficienti!$B$7)*(1-Parametri!$B$3))*(1+Parametri!$B$4)+Ferramenta!$D$11+Coefficienti!$B$8*Parametri!$B$5,2)</f>
        <v>352.23</v>
      </c>
      <c r="H30" s="4" t="n">
        <f aca="false">ROUND(((Coefficienti!$B$1+Coefficienti!$B$2*H$22+Coefficienti!$B$3*$A30)*Parametri!$B$1*(1-Parametri!$B$2)+((Coefficienti!$B$4+Coefficienti!$B$5*H$22+Coefficienti!$B$6*$A30)+Coefficienti!$B$7)*(1-Parametri!$B$3))*(1+Parametri!$B$4)+Ferramenta!$D$11+Coefficienti!$B$8*Parametri!$B$5,2)</f>
        <v>358.63</v>
      </c>
      <c r="I30" s="4" t="n">
        <f aca="false">ROUND(((Coefficienti!$B$1+Coefficienti!$B$2*I$22+Coefficienti!$B$3*$A30)*Parametri!$B$1*(1-Parametri!$B$2)+((Coefficienti!$B$4+Coefficienti!$B$5*I$22+Coefficienti!$B$6*$A30)+Coefficienti!$B$7)*(1-Parametri!$B$3))*(1+Parametri!$B$4)+Ferramenta!$D$11+Coefficienti!$B$8*Parametri!$B$5,2)</f>
        <v>365.03</v>
      </c>
    </row>
    <row r="31" customFormat="false" ht="15" hidden="false" customHeight="false" outlineLevel="0" collapsed="false">
      <c r="A31" s="2" t="n">
        <v>1300</v>
      </c>
      <c r="B31" s="4" t="n">
        <f aca="false">ROUND(((Coefficienti!$B$1+Coefficienti!$B$2*B$22+Coefficienti!$B$3*$A31)*Parametri!$B$1*(1-Parametri!$B$2)+((Coefficienti!$B$4+Coefficienti!$B$5*B$22+Coefficienti!$B$6*$A31)+Coefficienti!$B$7)*(1-Parametri!$B$3))*(1+Parametri!$B$4)+Ferramenta!$D$11+Coefficienti!$B$8*Parametri!$B$5,2)</f>
        <v>326.63</v>
      </c>
      <c r="C31" s="4" t="n">
        <f aca="false">ROUND(((Coefficienti!$B$1+Coefficienti!$B$2*C$22+Coefficienti!$B$3*$A31)*Parametri!$B$1*(1-Parametri!$B$2)+((Coefficienti!$B$4+Coefficienti!$B$5*C$22+Coefficienti!$B$6*$A31)+Coefficienti!$B$7)*(1-Parametri!$B$3))*(1+Parametri!$B$4)+Ferramenta!$D$11+Coefficienti!$B$8*Parametri!$B$5,2)</f>
        <v>333.03</v>
      </c>
      <c r="D31" s="4" t="n">
        <f aca="false">ROUND(((Coefficienti!$B$1+Coefficienti!$B$2*D$22+Coefficienti!$B$3*$A31)*Parametri!$B$1*(1-Parametri!$B$2)+((Coefficienti!$B$4+Coefficienti!$B$5*D$22+Coefficienti!$B$6*$A31)+Coefficienti!$B$7)*(1-Parametri!$B$3))*(1+Parametri!$B$4)+Ferramenta!$D$11+Coefficienti!$B$8*Parametri!$B$5,2)</f>
        <v>339.43</v>
      </c>
      <c r="E31" s="4" t="n">
        <f aca="false">ROUND(((Coefficienti!$B$1+Coefficienti!$B$2*E$22+Coefficienti!$B$3*$A31)*Parametri!$B$1*(1-Parametri!$B$2)+((Coefficienti!$B$4+Coefficienti!$B$5*E$22+Coefficienti!$B$6*$A31)+Coefficienti!$B$7)*(1-Parametri!$B$3))*(1+Parametri!$B$4)+Ferramenta!$D$11+Coefficienti!$B$8*Parametri!$B$5,2)</f>
        <v>345.83</v>
      </c>
      <c r="F31" s="4" t="n">
        <f aca="false">ROUND(((Coefficienti!$B$1+Coefficienti!$B$2*F$22+Coefficienti!$B$3*$A31)*Parametri!$B$1*(1-Parametri!$B$2)+((Coefficienti!$B$4+Coefficienti!$B$5*F$22+Coefficienti!$B$6*$A31)+Coefficienti!$B$7)*(1-Parametri!$B$3))*(1+Parametri!$B$4)+Ferramenta!$D$11+Coefficienti!$B$8*Parametri!$B$5,2)</f>
        <v>352.23</v>
      </c>
      <c r="G31" s="4" t="n">
        <f aca="false">ROUND(((Coefficienti!$B$1+Coefficienti!$B$2*G$22+Coefficienti!$B$3*$A31)*Parametri!$B$1*(1-Parametri!$B$2)+((Coefficienti!$B$4+Coefficienti!$B$5*G$22+Coefficienti!$B$6*$A31)+Coefficienti!$B$7)*(1-Parametri!$B$3))*(1+Parametri!$B$4)+Ferramenta!$D$11+Coefficienti!$B$8*Parametri!$B$5,2)</f>
        <v>358.63</v>
      </c>
      <c r="H31" s="4" t="n">
        <f aca="false">ROUND(((Coefficienti!$B$1+Coefficienti!$B$2*H$22+Coefficienti!$B$3*$A31)*Parametri!$B$1*(1-Parametri!$B$2)+((Coefficienti!$B$4+Coefficienti!$B$5*H$22+Coefficienti!$B$6*$A31)+Coefficienti!$B$7)*(1-Parametri!$B$3))*(1+Parametri!$B$4)+Ferramenta!$D$11+Coefficienti!$B$8*Parametri!$B$5,2)</f>
        <v>365.03</v>
      </c>
      <c r="I31" s="4" t="n">
        <f aca="false">ROUND(((Coefficienti!$B$1+Coefficienti!$B$2*I$22+Coefficienti!$B$3*$A31)*Parametri!$B$1*(1-Parametri!$B$2)+((Coefficienti!$B$4+Coefficienti!$B$5*I$22+Coefficienti!$B$6*$A31)+Coefficienti!$B$7)*(1-Parametri!$B$3))*(1+Parametri!$B$4)+Ferramenta!$D$11+Coefficienti!$B$8*Parametri!$B$5,2)</f>
        <v>371.44</v>
      </c>
    </row>
    <row r="32" customFormat="false" ht="15" hidden="false" customHeight="false" outlineLevel="0" collapsed="false">
      <c r="A32" s="2" t="n">
        <v>1400</v>
      </c>
      <c r="B32" s="4" t="n">
        <f aca="false">ROUND(((Coefficienti!$B$1+Coefficienti!$B$2*B$22+Coefficienti!$B$3*$A32)*Parametri!$B$1*(1-Parametri!$B$2)+((Coefficienti!$B$4+Coefficienti!$B$5*B$22+Coefficienti!$B$6*$A32)+Coefficienti!$B$7)*(1-Parametri!$B$3))*(1+Parametri!$B$4)+Ferramenta!$D$11+Coefficienti!$B$8*Parametri!$B$5,2)</f>
        <v>333.03</v>
      </c>
      <c r="C32" s="4" t="n">
        <f aca="false">ROUND(((Coefficienti!$B$1+Coefficienti!$B$2*C$22+Coefficienti!$B$3*$A32)*Parametri!$B$1*(1-Parametri!$B$2)+((Coefficienti!$B$4+Coefficienti!$B$5*C$22+Coefficienti!$B$6*$A32)+Coefficienti!$B$7)*(1-Parametri!$B$3))*(1+Parametri!$B$4)+Ferramenta!$D$11+Coefficienti!$B$8*Parametri!$B$5,2)</f>
        <v>339.43</v>
      </c>
      <c r="D32" s="4" t="n">
        <f aca="false">ROUND(((Coefficienti!$B$1+Coefficienti!$B$2*D$22+Coefficienti!$B$3*$A32)*Parametri!$B$1*(1-Parametri!$B$2)+((Coefficienti!$B$4+Coefficienti!$B$5*D$22+Coefficienti!$B$6*$A32)+Coefficienti!$B$7)*(1-Parametri!$B$3))*(1+Parametri!$B$4)+Ferramenta!$D$11+Coefficienti!$B$8*Parametri!$B$5,2)</f>
        <v>345.83</v>
      </c>
      <c r="E32" s="4" t="n">
        <f aca="false">ROUND(((Coefficienti!$B$1+Coefficienti!$B$2*E$22+Coefficienti!$B$3*$A32)*Parametri!$B$1*(1-Parametri!$B$2)+((Coefficienti!$B$4+Coefficienti!$B$5*E$22+Coefficienti!$B$6*$A32)+Coefficienti!$B$7)*(1-Parametri!$B$3))*(1+Parametri!$B$4)+Ferramenta!$D$11+Coefficienti!$B$8*Parametri!$B$5,2)</f>
        <v>352.23</v>
      </c>
      <c r="F32" s="4" t="n">
        <f aca="false">ROUND(((Coefficienti!$B$1+Coefficienti!$B$2*F$22+Coefficienti!$B$3*$A32)*Parametri!$B$1*(1-Parametri!$B$2)+((Coefficienti!$B$4+Coefficienti!$B$5*F$22+Coefficienti!$B$6*$A32)+Coefficienti!$B$7)*(1-Parametri!$B$3))*(1+Parametri!$B$4)+Ferramenta!$D$11+Coefficienti!$B$8*Parametri!$B$5,2)</f>
        <v>358.63</v>
      </c>
      <c r="G32" s="4" t="n">
        <f aca="false">ROUND(((Coefficienti!$B$1+Coefficienti!$B$2*G$22+Coefficienti!$B$3*$A32)*Parametri!$B$1*(1-Parametri!$B$2)+((Coefficienti!$B$4+Coefficienti!$B$5*G$22+Coefficienti!$B$6*$A32)+Coefficienti!$B$7)*(1-Parametri!$B$3))*(1+Parametri!$B$4)+Ferramenta!$D$11+Coefficienti!$B$8*Parametri!$B$5,2)</f>
        <v>365.03</v>
      </c>
      <c r="H32" s="4" t="n">
        <f aca="false">ROUND(((Coefficienti!$B$1+Coefficienti!$B$2*H$22+Coefficienti!$B$3*$A32)*Parametri!$B$1*(1-Parametri!$B$2)+((Coefficienti!$B$4+Coefficienti!$B$5*H$22+Coefficienti!$B$6*$A32)+Coefficienti!$B$7)*(1-Parametri!$B$3))*(1+Parametri!$B$4)+Ferramenta!$D$11+Coefficienti!$B$8*Parametri!$B$5,2)</f>
        <v>371.44</v>
      </c>
      <c r="I32" s="4" t="n">
        <f aca="false">ROUND(((Coefficienti!$B$1+Coefficienti!$B$2*I$22+Coefficienti!$B$3*$A32)*Parametri!$B$1*(1-Parametri!$B$2)+((Coefficienti!$B$4+Coefficienti!$B$5*I$22+Coefficienti!$B$6*$A32)+Coefficienti!$B$7)*(1-Parametri!$B$3))*(1+Parametri!$B$4)+Ferramenta!$D$11+Coefficienti!$B$8*Parametri!$B$5,2)</f>
        <v>377.84</v>
      </c>
    </row>
    <row r="33" customFormat="false" ht="15" hidden="false" customHeight="false" outlineLevel="0" collapsed="false">
      <c r="A33" s="2" t="n">
        <v>1500</v>
      </c>
      <c r="B33" s="4" t="n">
        <f aca="false">ROUND(((Coefficienti!$B$1+Coefficienti!$B$2*B$22+Coefficienti!$B$3*$A33)*Parametri!$B$1*(1-Parametri!$B$2)+((Coefficienti!$B$4+Coefficienti!$B$5*B$22+Coefficienti!$B$6*$A33)+Coefficienti!$B$7)*(1-Parametri!$B$3))*(1+Parametri!$B$4)+Ferramenta!$D$11+Coefficienti!$B$8*Parametri!$B$5,2)</f>
        <v>339.43</v>
      </c>
      <c r="C33" s="4" t="n">
        <f aca="false">ROUND(((Coefficienti!$B$1+Coefficienti!$B$2*C$22+Coefficienti!$B$3*$A33)*Parametri!$B$1*(1-Parametri!$B$2)+((Coefficienti!$B$4+Coefficienti!$B$5*C$22+Coefficienti!$B$6*$A33)+Coefficienti!$B$7)*(1-Parametri!$B$3))*(1+Parametri!$B$4)+Ferramenta!$D$11+Coefficienti!$B$8*Parametri!$B$5,2)</f>
        <v>345.83</v>
      </c>
      <c r="D33" s="4" t="n">
        <f aca="false">ROUND(((Coefficienti!$B$1+Coefficienti!$B$2*D$22+Coefficienti!$B$3*$A33)*Parametri!$B$1*(1-Parametri!$B$2)+((Coefficienti!$B$4+Coefficienti!$B$5*D$22+Coefficienti!$B$6*$A33)+Coefficienti!$B$7)*(1-Parametri!$B$3))*(1+Parametri!$B$4)+Ferramenta!$D$11+Coefficienti!$B$8*Parametri!$B$5,2)</f>
        <v>352.23</v>
      </c>
      <c r="E33" s="4" t="n">
        <f aca="false">ROUND(((Coefficienti!$B$1+Coefficienti!$B$2*E$22+Coefficienti!$B$3*$A33)*Parametri!$B$1*(1-Parametri!$B$2)+((Coefficienti!$B$4+Coefficienti!$B$5*E$22+Coefficienti!$B$6*$A33)+Coefficienti!$B$7)*(1-Parametri!$B$3))*(1+Parametri!$B$4)+Ferramenta!$D$11+Coefficienti!$B$8*Parametri!$B$5,2)</f>
        <v>358.63</v>
      </c>
      <c r="F33" s="4" t="n">
        <f aca="false">ROUND(((Coefficienti!$B$1+Coefficienti!$B$2*F$22+Coefficienti!$B$3*$A33)*Parametri!$B$1*(1-Parametri!$B$2)+((Coefficienti!$B$4+Coefficienti!$B$5*F$22+Coefficienti!$B$6*$A33)+Coefficienti!$B$7)*(1-Parametri!$B$3))*(1+Parametri!$B$4)+Ferramenta!$D$11+Coefficienti!$B$8*Parametri!$B$5,2)</f>
        <v>365.03</v>
      </c>
      <c r="G33" s="4" t="n">
        <f aca="false">ROUND(((Coefficienti!$B$1+Coefficienti!$B$2*G$22+Coefficienti!$B$3*$A33)*Parametri!$B$1*(1-Parametri!$B$2)+((Coefficienti!$B$4+Coefficienti!$B$5*G$22+Coefficienti!$B$6*$A33)+Coefficienti!$B$7)*(1-Parametri!$B$3))*(1+Parametri!$B$4)+Ferramenta!$D$11+Coefficienti!$B$8*Parametri!$B$5,2)</f>
        <v>371.44</v>
      </c>
      <c r="H33" s="4" t="n">
        <f aca="false">ROUND(((Coefficienti!$B$1+Coefficienti!$B$2*H$22+Coefficienti!$B$3*$A33)*Parametri!$B$1*(1-Parametri!$B$2)+((Coefficienti!$B$4+Coefficienti!$B$5*H$22+Coefficienti!$B$6*$A33)+Coefficienti!$B$7)*(1-Parametri!$B$3))*(1+Parametri!$B$4)+Ferramenta!$D$11+Coefficienti!$B$8*Parametri!$B$5,2)</f>
        <v>377.84</v>
      </c>
      <c r="I33" s="4" t="n">
        <f aca="false">ROUND(((Coefficienti!$B$1+Coefficienti!$B$2*I$22+Coefficienti!$B$3*$A33)*Parametri!$B$1*(1-Parametri!$B$2)+((Coefficienti!$B$4+Coefficienti!$B$5*I$22+Coefficienti!$B$6*$A33)+Coefficienti!$B$7)*(1-Parametri!$B$3))*(1+Parametri!$B$4)+Ferramenta!$D$11+Coefficienti!$B$8*Parametri!$B$5,2)</f>
        <v>384.24</v>
      </c>
    </row>
    <row r="34" customFormat="false" ht="15" hidden="false" customHeight="false" outlineLevel="0" collapsed="false">
      <c r="A34" s="2" t="n">
        <v>1600</v>
      </c>
      <c r="B34" s="4" t="n">
        <f aca="false">ROUND(((Coefficienti!$B$1+Coefficienti!$B$2*B$22+Coefficienti!$B$3*$A34)*Parametri!$B$1*(1-Parametri!$B$2)+((Coefficienti!$B$4+Coefficienti!$B$5*B$22+Coefficienti!$B$6*$A34)+Coefficienti!$B$7)*(1-Parametri!$B$3))*(1+Parametri!$B$4)+Ferramenta!$D$11+Coefficienti!$B$8*Parametri!$B$5,2)</f>
        <v>345.83</v>
      </c>
      <c r="C34" s="4" t="n">
        <f aca="false">ROUND(((Coefficienti!$B$1+Coefficienti!$B$2*C$22+Coefficienti!$B$3*$A34)*Parametri!$B$1*(1-Parametri!$B$2)+((Coefficienti!$B$4+Coefficienti!$B$5*C$22+Coefficienti!$B$6*$A34)+Coefficienti!$B$7)*(1-Parametri!$B$3))*(1+Parametri!$B$4)+Ferramenta!$D$11+Coefficienti!$B$8*Parametri!$B$5,2)</f>
        <v>352.23</v>
      </c>
      <c r="D34" s="4" t="n">
        <f aca="false">ROUND(((Coefficienti!$B$1+Coefficienti!$B$2*D$22+Coefficienti!$B$3*$A34)*Parametri!$B$1*(1-Parametri!$B$2)+((Coefficienti!$B$4+Coefficienti!$B$5*D$22+Coefficienti!$B$6*$A34)+Coefficienti!$B$7)*(1-Parametri!$B$3))*(1+Parametri!$B$4)+Ferramenta!$D$11+Coefficienti!$B$8*Parametri!$B$5,2)</f>
        <v>358.63</v>
      </c>
      <c r="E34" s="4" t="n">
        <f aca="false">ROUND(((Coefficienti!$B$1+Coefficienti!$B$2*E$22+Coefficienti!$B$3*$A34)*Parametri!$B$1*(1-Parametri!$B$2)+((Coefficienti!$B$4+Coefficienti!$B$5*E$22+Coefficienti!$B$6*$A34)+Coefficienti!$B$7)*(1-Parametri!$B$3))*(1+Parametri!$B$4)+Ferramenta!$D$11+Coefficienti!$B$8*Parametri!$B$5,2)</f>
        <v>365.03</v>
      </c>
      <c r="F34" s="4" t="n">
        <f aca="false">ROUND(((Coefficienti!$B$1+Coefficienti!$B$2*F$22+Coefficienti!$B$3*$A34)*Parametri!$B$1*(1-Parametri!$B$2)+((Coefficienti!$B$4+Coefficienti!$B$5*F$22+Coefficienti!$B$6*$A34)+Coefficienti!$B$7)*(1-Parametri!$B$3))*(1+Parametri!$B$4)+Ferramenta!$D$11+Coefficienti!$B$8*Parametri!$B$5,2)</f>
        <v>371.44</v>
      </c>
      <c r="G34" s="4" t="n">
        <f aca="false">ROUND(((Coefficienti!$B$1+Coefficienti!$B$2*G$22+Coefficienti!$B$3*$A34)*Parametri!$B$1*(1-Parametri!$B$2)+((Coefficienti!$B$4+Coefficienti!$B$5*G$22+Coefficienti!$B$6*$A34)+Coefficienti!$B$7)*(1-Parametri!$B$3))*(1+Parametri!$B$4)+Ferramenta!$D$11+Coefficienti!$B$8*Parametri!$B$5,2)</f>
        <v>377.84</v>
      </c>
      <c r="H34" s="4" t="n">
        <f aca="false">ROUND(((Coefficienti!$B$1+Coefficienti!$B$2*H$22+Coefficienti!$B$3*$A34)*Parametri!$B$1*(1-Parametri!$B$2)+((Coefficienti!$B$4+Coefficienti!$B$5*H$22+Coefficienti!$B$6*$A34)+Coefficienti!$B$7)*(1-Parametri!$B$3))*(1+Parametri!$B$4)+Ferramenta!$D$11+Coefficienti!$B$8*Parametri!$B$5,2)</f>
        <v>384.24</v>
      </c>
      <c r="I34" s="4" t="n">
        <f aca="false">ROUND(((Coefficienti!$B$1+Coefficienti!$B$2*I$22+Coefficienti!$B$3*$A34)*Parametri!$B$1*(1-Parametri!$B$2)+((Coefficienti!$B$4+Coefficienti!$B$5*I$22+Coefficienti!$B$6*$A34)+Coefficienti!$B$7)*(1-Parametri!$B$3))*(1+Parametri!$B$4)+Ferramenta!$D$11+Coefficienti!$B$8*Parametri!$B$5,2)</f>
        <v>390.64</v>
      </c>
    </row>
    <row r="35" customFormat="false" ht="15" hidden="false" customHeight="false" outlineLevel="0" collapsed="false">
      <c r="A35" s="2" t="n">
        <v>1700</v>
      </c>
      <c r="B35" s="4" t="n">
        <f aca="false">ROUND(((Coefficienti!$B$1+Coefficienti!$B$2*B$22+Coefficienti!$B$3*$A35)*Parametri!$B$1*(1-Parametri!$B$2)+((Coefficienti!$B$4+Coefficienti!$B$5*B$22+Coefficienti!$B$6*$A35)+Coefficienti!$B$7)*(1-Parametri!$B$3))*(1+Parametri!$B$4)+Ferramenta!$D$11+Coefficienti!$B$8*Parametri!$B$5,2)</f>
        <v>352.23</v>
      </c>
      <c r="C35" s="4" t="n">
        <f aca="false">ROUND(((Coefficienti!$B$1+Coefficienti!$B$2*C$22+Coefficienti!$B$3*$A35)*Parametri!$B$1*(1-Parametri!$B$2)+((Coefficienti!$B$4+Coefficienti!$B$5*C$22+Coefficienti!$B$6*$A35)+Coefficienti!$B$7)*(1-Parametri!$B$3))*(1+Parametri!$B$4)+Ferramenta!$D$11+Coefficienti!$B$8*Parametri!$B$5,2)</f>
        <v>358.63</v>
      </c>
      <c r="D35" s="4" t="n">
        <f aca="false">ROUND(((Coefficienti!$B$1+Coefficienti!$B$2*D$22+Coefficienti!$B$3*$A35)*Parametri!$B$1*(1-Parametri!$B$2)+((Coefficienti!$B$4+Coefficienti!$B$5*D$22+Coefficienti!$B$6*$A35)+Coefficienti!$B$7)*(1-Parametri!$B$3))*(1+Parametri!$B$4)+Ferramenta!$D$11+Coefficienti!$B$8*Parametri!$B$5,2)</f>
        <v>365.03</v>
      </c>
      <c r="E35" s="4" t="n">
        <f aca="false">ROUND(((Coefficienti!$B$1+Coefficienti!$B$2*E$22+Coefficienti!$B$3*$A35)*Parametri!$B$1*(1-Parametri!$B$2)+((Coefficienti!$B$4+Coefficienti!$B$5*E$22+Coefficienti!$B$6*$A35)+Coefficienti!$B$7)*(1-Parametri!$B$3))*(1+Parametri!$B$4)+Ferramenta!$D$11+Coefficienti!$B$8*Parametri!$B$5,2)</f>
        <v>371.44</v>
      </c>
      <c r="F35" s="4" t="n">
        <f aca="false">ROUND(((Coefficienti!$B$1+Coefficienti!$B$2*F$22+Coefficienti!$B$3*$A35)*Parametri!$B$1*(1-Parametri!$B$2)+((Coefficienti!$B$4+Coefficienti!$B$5*F$22+Coefficienti!$B$6*$A35)+Coefficienti!$B$7)*(1-Parametri!$B$3))*(1+Parametri!$B$4)+Ferramenta!$D$11+Coefficienti!$B$8*Parametri!$B$5,2)</f>
        <v>377.84</v>
      </c>
      <c r="G35" s="4" t="n">
        <f aca="false">ROUND(((Coefficienti!$B$1+Coefficienti!$B$2*G$22+Coefficienti!$B$3*$A35)*Parametri!$B$1*(1-Parametri!$B$2)+((Coefficienti!$B$4+Coefficienti!$B$5*G$22+Coefficienti!$B$6*$A35)+Coefficienti!$B$7)*(1-Parametri!$B$3))*(1+Parametri!$B$4)+Ferramenta!$D$11+Coefficienti!$B$8*Parametri!$B$5,2)</f>
        <v>384.24</v>
      </c>
      <c r="H35" s="4" t="n">
        <f aca="false">ROUND(((Coefficienti!$B$1+Coefficienti!$B$2*H$22+Coefficienti!$B$3*$A35)*Parametri!$B$1*(1-Parametri!$B$2)+((Coefficienti!$B$4+Coefficienti!$B$5*H$22+Coefficienti!$B$6*$A35)+Coefficienti!$B$7)*(1-Parametri!$B$3))*(1+Parametri!$B$4)+Ferramenta!$D$11+Coefficienti!$B$8*Parametri!$B$5,2)</f>
        <v>390.64</v>
      </c>
      <c r="I35" s="4" t="n">
        <f aca="false">ROUND(((Coefficienti!$B$1+Coefficienti!$B$2*I$22+Coefficienti!$B$3*$A35)*Parametri!$B$1*(1-Parametri!$B$2)+((Coefficienti!$B$4+Coefficienti!$B$5*I$22+Coefficienti!$B$6*$A35)+Coefficienti!$B$7)*(1-Parametri!$B$3))*(1+Parametri!$B$4)+Ferramenta!$D$11+Coefficienti!$B$8*Parametri!$B$5,2)</f>
        <v>397.04</v>
      </c>
    </row>
    <row r="36" customFormat="false" ht="15" hidden="false" customHeight="false" outlineLevel="0" collapsed="false">
      <c r="A36" s="2" t="n">
        <v>1800</v>
      </c>
      <c r="B36" s="4" t="n">
        <f aca="false">ROUND(((Coefficienti!$B$1+Coefficienti!$B$2*B$22+Coefficienti!$B$3*$A36)*Parametri!$B$1*(1-Parametri!$B$2)+((Coefficienti!$B$4+Coefficienti!$B$5*B$22+Coefficienti!$B$6*$A36)+Coefficienti!$B$7)*(1-Parametri!$B$3))*(1+Parametri!$B$4)+Ferramenta!$D$11+Coefficienti!$B$8*Parametri!$B$5,2)</f>
        <v>358.63</v>
      </c>
      <c r="C36" s="4" t="n">
        <f aca="false">ROUND(((Coefficienti!$B$1+Coefficienti!$B$2*C$22+Coefficienti!$B$3*$A36)*Parametri!$B$1*(1-Parametri!$B$2)+((Coefficienti!$B$4+Coefficienti!$B$5*C$22+Coefficienti!$B$6*$A36)+Coefficienti!$B$7)*(1-Parametri!$B$3))*(1+Parametri!$B$4)+Ferramenta!$D$11+Coefficienti!$B$8*Parametri!$B$5,2)</f>
        <v>365.03</v>
      </c>
      <c r="D36" s="4" t="n">
        <f aca="false">ROUND(((Coefficienti!$B$1+Coefficienti!$B$2*D$22+Coefficienti!$B$3*$A36)*Parametri!$B$1*(1-Parametri!$B$2)+((Coefficienti!$B$4+Coefficienti!$B$5*D$22+Coefficienti!$B$6*$A36)+Coefficienti!$B$7)*(1-Parametri!$B$3))*(1+Parametri!$B$4)+Ferramenta!$D$11+Coefficienti!$B$8*Parametri!$B$5,2)</f>
        <v>371.44</v>
      </c>
      <c r="E36" s="4" t="n">
        <f aca="false">ROUND(((Coefficienti!$B$1+Coefficienti!$B$2*E$22+Coefficienti!$B$3*$A36)*Parametri!$B$1*(1-Parametri!$B$2)+((Coefficienti!$B$4+Coefficienti!$B$5*E$22+Coefficienti!$B$6*$A36)+Coefficienti!$B$7)*(1-Parametri!$B$3))*(1+Parametri!$B$4)+Ferramenta!$D$11+Coefficienti!$B$8*Parametri!$B$5,2)</f>
        <v>377.84</v>
      </c>
      <c r="F36" s="4" t="n">
        <f aca="false">ROUND(((Coefficienti!$B$1+Coefficienti!$B$2*F$22+Coefficienti!$B$3*$A36)*Parametri!$B$1*(1-Parametri!$B$2)+((Coefficienti!$B$4+Coefficienti!$B$5*F$22+Coefficienti!$B$6*$A36)+Coefficienti!$B$7)*(1-Parametri!$B$3))*(1+Parametri!$B$4)+Ferramenta!$D$11+Coefficienti!$B$8*Parametri!$B$5,2)</f>
        <v>384.24</v>
      </c>
      <c r="G36" s="4" t="n">
        <f aca="false">ROUND(((Coefficienti!$B$1+Coefficienti!$B$2*G$22+Coefficienti!$B$3*$A36)*Parametri!$B$1*(1-Parametri!$B$2)+((Coefficienti!$B$4+Coefficienti!$B$5*G$22+Coefficienti!$B$6*$A36)+Coefficienti!$B$7)*(1-Parametri!$B$3))*(1+Parametri!$B$4)+Ferramenta!$D$11+Coefficienti!$B$8*Parametri!$B$5,2)</f>
        <v>390.64</v>
      </c>
      <c r="H36" s="4" t="n">
        <f aca="false">ROUND(((Coefficienti!$B$1+Coefficienti!$B$2*H$22+Coefficienti!$B$3*$A36)*Parametri!$B$1*(1-Parametri!$B$2)+((Coefficienti!$B$4+Coefficienti!$B$5*H$22+Coefficienti!$B$6*$A36)+Coefficienti!$B$7)*(1-Parametri!$B$3))*(1+Parametri!$B$4)+Ferramenta!$D$11+Coefficienti!$B$8*Parametri!$B$5,2)</f>
        <v>397.04</v>
      </c>
      <c r="I36" s="4" t="n">
        <f aca="false">ROUND(((Coefficienti!$B$1+Coefficienti!$B$2*I$22+Coefficienti!$B$3*$A36)*Parametri!$B$1*(1-Parametri!$B$2)+((Coefficienti!$B$4+Coefficienti!$B$5*I$22+Coefficienti!$B$6*$A36)+Coefficienti!$B$7)*(1-Parametri!$B$3))*(1+Parametri!$B$4)+Ferramenta!$D$11+Coefficienti!$B$8*Parametri!$B$5,2)</f>
        <v>403.44</v>
      </c>
    </row>
    <row r="37" customFormat="false" ht="15" hidden="false" customHeight="false" outlineLevel="0" collapsed="false">
      <c r="A37" s="2" t="n">
        <v>1900</v>
      </c>
      <c r="B37" s="4" t="n">
        <f aca="false">ROUND(((Coefficienti!$B$1+Coefficienti!$B$2*B$22+Coefficienti!$B$3*$A37)*Parametri!$B$1*(1-Parametri!$B$2)+((Coefficienti!$B$4+Coefficienti!$B$5*B$22+Coefficienti!$B$6*$A37)+Coefficienti!$B$7)*(1-Parametri!$B$3))*(1+Parametri!$B$4)+Ferramenta!$D$11+Coefficienti!$B$8*Parametri!$B$5,2)</f>
        <v>365.03</v>
      </c>
      <c r="C37" s="4" t="n">
        <f aca="false">ROUND(((Coefficienti!$B$1+Coefficienti!$B$2*C$22+Coefficienti!$B$3*$A37)*Parametri!$B$1*(1-Parametri!$B$2)+((Coefficienti!$B$4+Coefficienti!$B$5*C$22+Coefficienti!$B$6*$A37)+Coefficienti!$B$7)*(1-Parametri!$B$3))*(1+Parametri!$B$4)+Ferramenta!$D$11+Coefficienti!$B$8*Parametri!$B$5,2)</f>
        <v>371.44</v>
      </c>
      <c r="D37" s="4" t="n">
        <f aca="false">ROUND(((Coefficienti!$B$1+Coefficienti!$B$2*D$22+Coefficienti!$B$3*$A37)*Parametri!$B$1*(1-Parametri!$B$2)+((Coefficienti!$B$4+Coefficienti!$B$5*D$22+Coefficienti!$B$6*$A37)+Coefficienti!$B$7)*(1-Parametri!$B$3))*(1+Parametri!$B$4)+Ferramenta!$D$11+Coefficienti!$B$8*Parametri!$B$5,2)</f>
        <v>377.84</v>
      </c>
      <c r="E37" s="4" t="n">
        <f aca="false">ROUND(((Coefficienti!$B$1+Coefficienti!$B$2*E$22+Coefficienti!$B$3*$A37)*Parametri!$B$1*(1-Parametri!$B$2)+((Coefficienti!$B$4+Coefficienti!$B$5*E$22+Coefficienti!$B$6*$A37)+Coefficienti!$B$7)*(1-Parametri!$B$3))*(1+Parametri!$B$4)+Ferramenta!$D$11+Coefficienti!$B$8*Parametri!$B$5,2)</f>
        <v>384.24</v>
      </c>
      <c r="F37" s="4" t="n">
        <f aca="false">ROUND(((Coefficienti!$B$1+Coefficienti!$B$2*F$22+Coefficienti!$B$3*$A37)*Parametri!$B$1*(1-Parametri!$B$2)+((Coefficienti!$B$4+Coefficienti!$B$5*F$22+Coefficienti!$B$6*$A37)+Coefficienti!$B$7)*(1-Parametri!$B$3))*(1+Parametri!$B$4)+Ferramenta!$D$11+Coefficienti!$B$8*Parametri!$B$5,2)</f>
        <v>390.64</v>
      </c>
      <c r="G37" s="4" t="n">
        <f aca="false">ROUND(((Coefficienti!$B$1+Coefficienti!$B$2*G$22+Coefficienti!$B$3*$A37)*Parametri!$B$1*(1-Parametri!$B$2)+((Coefficienti!$B$4+Coefficienti!$B$5*G$22+Coefficienti!$B$6*$A37)+Coefficienti!$B$7)*(1-Parametri!$B$3))*(1+Parametri!$B$4)+Ferramenta!$D$11+Coefficienti!$B$8*Parametri!$B$5,2)</f>
        <v>397.04</v>
      </c>
      <c r="H37" s="4" t="n">
        <f aca="false">ROUND(((Coefficienti!$B$1+Coefficienti!$B$2*H$22+Coefficienti!$B$3*$A37)*Parametri!$B$1*(1-Parametri!$B$2)+((Coefficienti!$B$4+Coefficienti!$B$5*H$22+Coefficienti!$B$6*$A37)+Coefficienti!$B$7)*(1-Parametri!$B$3))*(1+Parametri!$B$4)+Ferramenta!$D$11+Coefficienti!$B$8*Parametri!$B$5,2)</f>
        <v>403.44</v>
      </c>
      <c r="I37" s="4" t="n">
        <f aca="false">ROUND(((Coefficienti!$B$1+Coefficienti!$B$2*I$22+Coefficienti!$B$3*$A37)*Parametri!$B$1*(1-Parametri!$B$2)+((Coefficienti!$B$4+Coefficienti!$B$5*I$22+Coefficienti!$B$6*$A37)+Coefficienti!$B$7)*(1-Parametri!$B$3))*(1+Parametri!$B$4)+Ferramenta!$D$11+Coefficienti!$B$8*Parametri!$B$5,2)</f>
        <v>409.84</v>
      </c>
    </row>
    <row r="38" customFormat="false" ht="15" hidden="false" customHeight="false" outlineLevel="0" collapsed="false">
      <c r="A38" s="2" t="n">
        <v>2000</v>
      </c>
      <c r="B38" s="4" t="n">
        <f aca="false">ROUND(((Coefficienti!$B$1+Coefficienti!$B$2*B$22+Coefficienti!$B$3*$A38)*Parametri!$B$1*(1-Parametri!$B$2)+((Coefficienti!$B$4+Coefficienti!$B$5*B$22+Coefficienti!$B$6*$A38)+Coefficienti!$B$7)*(1-Parametri!$B$3))*(1+Parametri!$B$4)+Ferramenta!$D$11+Coefficienti!$B$8*Parametri!$B$5,2)</f>
        <v>371.44</v>
      </c>
      <c r="C38" s="4" t="n">
        <f aca="false">ROUND(((Coefficienti!$B$1+Coefficienti!$B$2*C$22+Coefficienti!$B$3*$A38)*Parametri!$B$1*(1-Parametri!$B$2)+((Coefficienti!$B$4+Coefficienti!$B$5*C$22+Coefficienti!$B$6*$A38)+Coefficienti!$B$7)*(1-Parametri!$B$3))*(1+Parametri!$B$4)+Ferramenta!$D$11+Coefficienti!$B$8*Parametri!$B$5,2)</f>
        <v>377.84</v>
      </c>
      <c r="D38" s="4" t="n">
        <f aca="false">ROUND(((Coefficienti!$B$1+Coefficienti!$B$2*D$22+Coefficienti!$B$3*$A38)*Parametri!$B$1*(1-Parametri!$B$2)+((Coefficienti!$B$4+Coefficienti!$B$5*D$22+Coefficienti!$B$6*$A38)+Coefficienti!$B$7)*(1-Parametri!$B$3))*(1+Parametri!$B$4)+Ferramenta!$D$11+Coefficienti!$B$8*Parametri!$B$5,2)</f>
        <v>384.24</v>
      </c>
      <c r="E38" s="4" t="n">
        <f aca="false">ROUND(((Coefficienti!$B$1+Coefficienti!$B$2*E$22+Coefficienti!$B$3*$A38)*Parametri!$B$1*(1-Parametri!$B$2)+((Coefficienti!$B$4+Coefficienti!$B$5*E$22+Coefficienti!$B$6*$A38)+Coefficienti!$B$7)*(1-Parametri!$B$3))*(1+Parametri!$B$4)+Ferramenta!$D$11+Coefficienti!$B$8*Parametri!$B$5,2)</f>
        <v>390.64</v>
      </c>
      <c r="F38" s="4" t="n">
        <f aca="false">ROUND(((Coefficienti!$B$1+Coefficienti!$B$2*F$22+Coefficienti!$B$3*$A38)*Parametri!$B$1*(1-Parametri!$B$2)+((Coefficienti!$B$4+Coefficienti!$B$5*F$22+Coefficienti!$B$6*$A38)+Coefficienti!$B$7)*(1-Parametri!$B$3))*(1+Parametri!$B$4)+Ferramenta!$D$11+Coefficienti!$B$8*Parametri!$B$5,2)</f>
        <v>397.04</v>
      </c>
      <c r="G38" s="4" t="n">
        <f aca="false">ROUND(((Coefficienti!$B$1+Coefficienti!$B$2*G$22+Coefficienti!$B$3*$A38)*Parametri!$B$1*(1-Parametri!$B$2)+((Coefficienti!$B$4+Coefficienti!$B$5*G$22+Coefficienti!$B$6*$A38)+Coefficienti!$B$7)*(1-Parametri!$B$3))*(1+Parametri!$B$4)+Ferramenta!$D$11+Coefficienti!$B$8*Parametri!$B$5,2)</f>
        <v>403.44</v>
      </c>
      <c r="H38" s="4" t="n">
        <f aca="false">ROUND(((Coefficienti!$B$1+Coefficienti!$B$2*H$22+Coefficienti!$B$3*$A38)*Parametri!$B$1*(1-Parametri!$B$2)+((Coefficienti!$B$4+Coefficienti!$B$5*H$22+Coefficienti!$B$6*$A38)+Coefficienti!$B$7)*(1-Parametri!$B$3))*(1+Parametri!$B$4)+Ferramenta!$D$11+Coefficienti!$B$8*Parametri!$B$5,2)</f>
        <v>409.84</v>
      </c>
      <c r="I38" s="4" t="n">
        <f aca="false">ROUND(((Coefficienti!$B$1+Coefficienti!$B$2*I$22+Coefficienti!$B$3*$A38)*Parametri!$B$1*(1-Parametri!$B$2)+((Coefficienti!$B$4+Coefficienti!$B$5*I$22+Coefficienti!$B$6*$A38)+Coefficienti!$B$7)*(1-Parametri!$B$3))*(1+Parametri!$B$4)+Ferramenta!$D$11+Coefficienti!$B$8*Parametri!$B$5,2)</f>
        <v>416.25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5" t="s">
        <v>3</v>
      </c>
      <c r="B1" s="6" t="n">
        <v>14.82</v>
      </c>
    </row>
    <row r="2" customFormat="false" ht="15" hidden="false" customHeight="false" outlineLevel="0" collapsed="false">
      <c r="A2" s="5" t="s">
        <v>4</v>
      </c>
      <c r="B2" s="7" t="n">
        <v>0.43</v>
      </c>
    </row>
    <row r="3" customFormat="false" ht="15" hidden="false" customHeight="false" outlineLevel="0" collapsed="false">
      <c r="A3" s="5" t="s">
        <v>5</v>
      </c>
      <c r="B3" s="7" t="n">
        <v>0.2</v>
      </c>
    </row>
    <row r="4" customFormat="false" ht="15" hidden="false" customHeight="false" outlineLevel="0" collapsed="false">
      <c r="A4" s="5" t="s">
        <v>6</v>
      </c>
      <c r="B4" s="7" t="n">
        <v>0.09</v>
      </c>
    </row>
    <row r="5" customFormat="false" ht="15" hidden="false" customHeight="false" outlineLevel="0" collapsed="false">
      <c r="A5" s="5" t="s">
        <v>7</v>
      </c>
      <c r="B5" s="6" t="n">
        <v>65</v>
      </c>
    </row>
    <row r="6" customFormat="false" ht="15" hidden="false" customHeight="false" outlineLevel="0" collapsed="false">
      <c r="A6" s="5" t="s">
        <v>8</v>
      </c>
      <c r="B6" s="7" t="n">
        <v>2.13</v>
      </c>
    </row>
    <row r="8" customFormat="false" ht="15" hidden="false" customHeight="false" outlineLevel="0" collapsed="false">
      <c r="A8" s="5" t="s">
        <v>9</v>
      </c>
    </row>
    <row r="9" customFormat="false" ht="15" hidden="false" customHeight="false" outlineLevel="0" collapsed="false">
      <c r="A9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</cols>
  <sheetData>
    <row r="1" customFormat="false" ht="15" hidden="false" customHeight="false" outlineLevel="0" collapsed="false">
      <c r="A1" s="5" t="s">
        <v>11</v>
      </c>
      <c r="B1" s="5" t="n">
        <v>-0.4984</v>
      </c>
    </row>
    <row r="2" customFormat="false" ht="15" hidden="false" customHeight="false" outlineLevel="0" collapsed="false">
      <c r="A2" s="5" t="s">
        <v>12</v>
      </c>
      <c r="B2" s="5" t="n">
        <v>0.00672</v>
      </c>
    </row>
    <row r="3" customFormat="false" ht="15" hidden="false" customHeight="false" outlineLevel="0" collapsed="false">
      <c r="A3" s="5" t="s">
        <v>13</v>
      </c>
      <c r="B3" s="5" t="n">
        <v>0.00672</v>
      </c>
    </row>
    <row r="4" customFormat="false" ht="15" hidden="false" customHeight="false" outlineLevel="0" collapsed="false">
      <c r="A4" s="5" t="s">
        <v>14</v>
      </c>
      <c r="B4" s="5" t="n">
        <v>0.009812</v>
      </c>
    </row>
    <row r="5" customFormat="false" ht="15" hidden="false" customHeight="false" outlineLevel="0" collapsed="false">
      <c r="A5" s="5" t="s">
        <v>15</v>
      </c>
      <c r="B5" s="5" t="n">
        <v>0.002453</v>
      </c>
    </row>
    <row r="6" customFormat="false" ht="15" hidden="false" customHeight="false" outlineLevel="0" collapsed="false">
      <c r="A6" s="5" t="s">
        <v>16</v>
      </c>
      <c r="B6" s="5" t="n">
        <v>0.002453</v>
      </c>
    </row>
    <row r="7" customFormat="false" ht="15" hidden="false" customHeight="false" outlineLevel="0" collapsed="false">
      <c r="A7" s="5" t="s">
        <v>17</v>
      </c>
      <c r="B7" s="5" t="n">
        <v>33.624</v>
      </c>
    </row>
    <row r="8" customFormat="false" ht="15" hidden="false" customHeight="false" outlineLevel="0" collapsed="false">
      <c r="A8" s="5" t="s">
        <v>18</v>
      </c>
      <c r="B8" s="5" t="n">
        <v>2.66666667</v>
      </c>
    </row>
    <row r="10" customFormat="false" ht="15" hidden="false" customHeight="false" outlineLevel="0" collapsed="false">
      <c r="A10" s="5" t="s">
        <v>19</v>
      </c>
    </row>
    <row r="11" customFormat="false" ht="15" hidden="false" customHeight="false" outlineLevel="0" collapsed="false">
      <c r="A11" s="5" t="s">
        <v>20</v>
      </c>
    </row>
    <row r="12" customFormat="false" ht="15" hidden="false" customHeight="false" outlineLevel="0" collapsed="false">
      <c r="A12" s="5" t="s">
        <v>21</v>
      </c>
    </row>
    <row r="13" customFormat="false" ht="15" hidden="false" customHeight="false" outlineLevel="0" collapsed="false">
      <c r="A13" s="5" t="s">
        <v>22</v>
      </c>
    </row>
    <row r="14" customFormat="false" ht="15" hidden="false" customHeight="false" outlineLevel="0" collapsed="false">
      <c r="A14" s="5" t="s">
        <v>23</v>
      </c>
    </row>
    <row r="15" customFormat="false" ht="15" hidden="false" customHeight="false" outlineLevel="0" collapsed="false">
      <c r="A15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  <c r="D1" s="2" t="s">
        <v>28</v>
      </c>
    </row>
    <row r="2" customFormat="false" ht="15" hidden="false" customHeight="false" outlineLevel="0" collapsed="false">
      <c r="A2" s="5" t="s">
        <v>29</v>
      </c>
      <c r="B2" s="8" t="n">
        <v>1</v>
      </c>
      <c r="C2" s="6" t="n">
        <v>5.5</v>
      </c>
      <c r="D2" s="4" t="n">
        <f aca="false">B2*C2</f>
        <v>5.5</v>
      </c>
    </row>
    <row r="3" customFormat="false" ht="15" hidden="false" customHeight="false" outlineLevel="0" collapsed="false">
      <c r="A3" s="5" t="s">
        <v>30</v>
      </c>
      <c r="B3" s="8" t="n">
        <v>1</v>
      </c>
      <c r="C3" s="6" t="n">
        <v>3.57</v>
      </c>
      <c r="D3" s="4" t="n">
        <f aca="false">B3*C3</f>
        <v>3.57</v>
      </c>
    </row>
    <row r="4" customFormat="false" ht="15" hidden="false" customHeight="false" outlineLevel="0" collapsed="false">
      <c r="A4" s="5" t="s">
        <v>31</v>
      </c>
      <c r="B4" s="8" t="n">
        <v>1</v>
      </c>
      <c r="C4" s="6" t="n">
        <v>1.26</v>
      </c>
      <c r="D4" s="4" t="n">
        <f aca="false">B4*C4</f>
        <v>1.26</v>
      </c>
    </row>
    <row r="5" customFormat="false" ht="15" hidden="false" customHeight="false" outlineLevel="0" collapsed="false">
      <c r="A5" s="5" t="s">
        <v>32</v>
      </c>
      <c r="B5" s="8" t="n">
        <v>1</v>
      </c>
      <c r="C5" s="6" t="n">
        <v>1.33</v>
      </c>
      <c r="D5" s="4" t="n">
        <f aca="false">B5*C5</f>
        <v>1.33</v>
      </c>
    </row>
    <row r="6" customFormat="false" ht="15" hidden="false" customHeight="false" outlineLevel="0" collapsed="false">
      <c r="A6" s="5" t="s">
        <v>33</v>
      </c>
      <c r="B6" s="8" t="n">
        <v>1</v>
      </c>
      <c r="C6" s="6" t="n">
        <v>0.92</v>
      </c>
      <c r="D6" s="4" t="n">
        <f aca="false">B6*C6</f>
        <v>0.92</v>
      </c>
    </row>
    <row r="7" customFormat="false" ht="15" hidden="false" customHeight="false" outlineLevel="0" collapsed="false">
      <c r="A7" s="5" t="s">
        <v>34</v>
      </c>
      <c r="B7" s="8" t="n">
        <v>2</v>
      </c>
      <c r="C7" s="6" t="n">
        <v>0.373</v>
      </c>
      <c r="D7" s="4" t="n">
        <f aca="false">B7*C7</f>
        <v>0.746</v>
      </c>
    </row>
    <row r="8" customFormat="false" ht="15" hidden="false" customHeight="false" outlineLevel="0" collapsed="false">
      <c r="A8" s="5" t="s">
        <v>35</v>
      </c>
      <c r="B8" s="8" t="n">
        <v>4</v>
      </c>
      <c r="C8" s="6" t="n">
        <v>0</v>
      </c>
      <c r="D8" s="4" t="n">
        <f aca="false">B8*C8</f>
        <v>0</v>
      </c>
    </row>
    <row r="9" customFormat="false" ht="15" hidden="false" customHeight="false" outlineLevel="0" collapsed="false">
      <c r="A9" s="5" t="s">
        <v>36</v>
      </c>
      <c r="B9" s="8" t="n">
        <v>1</v>
      </c>
      <c r="C9" s="6" t="n">
        <v>0</v>
      </c>
      <c r="D9" s="4" t="n">
        <f aca="false">B9*C9</f>
        <v>0</v>
      </c>
    </row>
    <row r="10" customFormat="false" ht="15" hidden="false" customHeight="false" outlineLevel="0" collapsed="false">
      <c r="A10" s="5" t="s">
        <v>37</v>
      </c>
      <c r="B10" s="8" t="n">
        <v>1</v>
      </c>
      <c r="C10" s="6" t="n">
        <v>0</v>
      </c>
      <c r="D10" s="4" t="n">
        <f aca="false">B10*C10</f>
        <v>0</v>
      </c>
    </row>
    <row r="11" customFormat="false" ht="15" hidden="false" customHeight="false" outlineLevel="0" collapsed="false">
      <c r="A11" s="9" t="s">
        <v>38</v>
      </c>
      <c r="D11" s="10" t="n">
        <f aca="false">SUM(D2:D10)</f>
        <v>13.326</v>
      </c>
    </row>
    <row r="13" customFormat="false" ht="15" hidden="false" customHeight="false" outlineLevel="0" collapsed="false">
      <c r="A13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2026-09-02T19:56:28Z</dcterms:created>
  <dc:creator>openpyxl</dc:creator>
  <dc:description/>
  <dc:language>en-US</dc:language>
  <cp:lastModifiedBy/>
  <dcterms:modified xsi:type="dcterms:W3CDTF">2026-09-02T19:56:28Z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