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FINESTRA 1 ANTA (1A75)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500</v>
      </c>
      <c r="C22" s="3" t="n">
        <v>600</v>
      </c>
      <c r="D22" s="3" t="n">
        <v>700</v>
      </c>
      <c r="E22" s="3" t="n">
        <v>800</v>
      </c>
      <c r="F22" s="3" t="n">
        <v>900</v>
      </c>
      <c r="G22" s="3" t="n">
        <v>1000</v>
      </c>
      <c r="H22" s="3" t="n">
        <v>1100</v>
      </c>
      <c r="I22" s="3" t="n">
        <v>1200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Griglia!B2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Griglia!C2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Griglia!D2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Griglia!E2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Griglia!F2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Griglia!G2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Griglia!H2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Griglia!I2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Griglia!B3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Griglia!C3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Griglia!D3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Griglia!E3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Griglia!F3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Griglia!G3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Griglia!H3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Griglia!I3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Griglia!B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Griglia!C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Griglia!D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Griglia!E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Griglia!F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Griglia!G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Griglia!H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Griglia!I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Griglia!B5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Griglia!C5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Griglia!D5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Griglia!E5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Griglia!F5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Griglia!G5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Griglia!H5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Griglia!I5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Griglia!B6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Griglia!C6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Griglia!D6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Griglia!E6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Griglia!F6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Griglia!G6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Griglia!H6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Griglia!I6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Griglia!B7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Griglia!C7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Griglia!D7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Griglia!E7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Griglia!F7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Griglia!G7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Griglia!H7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Griglia!I7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Griglia!B8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Griglia!C8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Griglia!D8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Griglia!E8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Griglia!F8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Griglia!G8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Griglia!H8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Griglia!I8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Griglia!B9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Griglia!C9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Griglia!D9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Griglia!E9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Griglia!F9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Griglia!G9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Griglia!H9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Griglia!I9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Griglia!B10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Griglia!C10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Griglia!D10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Griglia!E10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Griglia!F10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Griglia!G10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Griglia!H10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Griglia!I10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Griglia!B11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Griglia!C11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Griglia!D11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Griglia!E11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Griglia!F11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Griglia!G11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Griglia!H11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Griglia!I11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Griglia!B12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Griglia!C12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Griglia!D12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Griglia!E12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Griglia!F12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Griglia!G12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Griglia!H12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Griglia!I12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Griglia!B13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Griglia!C13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Griglia!D13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Griglia!E13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Griglia!F13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Griglia!G13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Griglia!H13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Griglia!I13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Griglia!B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Griglia!C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Griglia!D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Griglia!E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Griglia!F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Griglia!G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Griglia!H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Griglia!I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Griglia!B15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Griglia!C15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Griglia!D15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Griglia!E15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Griglia!F15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Griglia!G15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Griglia!H15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Griglia!I15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Griglia!B16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Griglia!C16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Griglia!D16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Griglia!E16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Griglia!F16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Griglia!G16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Griglia!H16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Griglia!I16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Griglia!B17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Griglia!C17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Griglia!D17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Griglia!E17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Griglia!F17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Griglia!G17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Griglia!H17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Griglia!I17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-0.27048</v>
      </c>
    </row>
    <row r="2">
      <c r="A2" s="5" t="inlineStr">
        <is>
          <t>Peso taglio termico per mm di L (kg/mm)</t>
        </is>
      </c>
      <c r="B2" s="5" t="n">
        <v>0.00598</v>
      </c>
    </row>
    <row r="3">
      <c r="A3" s="5" t="inlineStr">
        <is>
          <t>Peso taglio termico per mm di H (kg/mm)</t>
        </is>
      </c>
      <c r="B3" s="5" t="n">
        <v>0.00598</v>
      </c>
    </row>
    <row r="4">
      <c r="A4" s="5" t="inlineStr">
        <is>
          <t>Peso profili normali costante (kg)</t>
        </is>
      </c>
      <c r="B4" s="5" t="n">
        <v>-0.22792</v>
      </c>
    </row>
    <row r="5">
      <c r="A5" s="5" t="inlineStr">
        <is>
          <t>Peso normali per mm di L (kg/mm)</t>
        </is>
      </c>
      <c r="B5" s="5" t="n">
        <v>0.00074</v>
      </c>
    </row>
    <row r="6">
      <c r="A6" s="5" t="inlineStr">
        <is>
          <t>Peso normali per mm di H (kg/mm)</t>
        </is>
      </c>
      <c r="B6" s="5" t="n">
        <v>0.00074</v>
      </c>
    </row>
    <row r="7">
      <c r="A7" s="5" t="inlineStr">
        <is>
          <t>Guarnizioni costante (€ listino)</t>
        </is>
      </c>
      <c r="B7" s="5" t="n">
        <v>0.009812</v>
      </c>
    </row>
    <row r="8">
      <c r="A8" s="5" t="inlineStr">
        <is>
          <t>Guarnizioni per mm di L (€/mm)</t>
        </is>
      </c>
      <c r="B8" s="5" t="n">
        <v>0.002453</v>
      </c>
    </row>
    <row r="9">
      <c r="A9" s="5" t="inlineStr">
        <is>
          <t>Guarnizioni per mm di H (€/mm)</t>
        </is>
      </c>
      <c r="B9" s="5" t="n">
        <v>0.002453</v>
      </c>
    </row>
    <row r="10">
      <c r="A10" s="5" t="inlineStr">
        <is>
          <t>Accessori totale (€ listino)</t>
        </is>
      </c>
      <c r="B10" s="5" t="n">
        <v>33.624</v>
      </c>
    </row>
    <row r="11">
      <c r="A11" s="5" t="inlineStr">
        <is>
          <t>Ore manodopera</t>
        </is>
      </c>
      <c r="B11" s="5" t="n">
        <v>2.66666667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Cremonese Multi-Matic (lvMWEspagnoletteGesamt) (201745)</t>
        </is>
      </c>
      <c r="B2" s="8" t="n">
        <v>1</v>
      </c>
      <c r="C2" s="6" t="n">
        <v>3.57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(201750)</t>
        </is>
      </c>
      <c r="B3" s="8" t="n">
        <v>1</v>
      </c>
      <c r="C3" s="6" t="n">
        <v>2.17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(211930)</t>
        </is>
      </c>
      <c r="B7" s="8" t="n">
        <v>1</v>
      </c>
      <c r="C7" s="6" t="n">
        <v>2.03</v>
      </c>
      <c r="D7" s="4">
        <f>B7*C7</f>
        <v/>
      </c>
      <c r="E7" s="5" t="inlineStr">
        <is>
          <t>netto 2025</t>
        </is>
      </c>
    </row>
    <row r="8">
      <c r="A8" s="5" t="inlineStr">
        <is>
          <t>Chiusura centrale orizzontale (Mittelverschluss) (211929)</t>
        </is>
      </c>
      <c r="B8" s="8" t="n">
        <v>1</v>
      </c>
      <c r="C8" s="6" t="n">
        <v>1.77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(211900)</t>
        </is>
      </c>
      <c r="B9" s="8" t="n">
        <v>1</v>
      </c>
      <c r="C9" s="6" t="n">
        <v>3.24</v>
      </c>
      <c r="D9" s="4">
        <f>B9*C9</f>
        <v/>
      </c>
      <c r="E9" s="5" t="inlineStr">
        <is>
          <t>netto 2025</t>
        </is>
      </c>
    </row>
    <row r="10">
      <c r="A10" s="5" t="inlineStr">
        <is>
          <t>Forbice + braccio (ScherenMontiert) (211901)</t>
        </is>
      </c>
      <c r="B10" s="8" t="n">
        <v>1</v>
      </c>
      <c r="C10" s="6" t="n">
        <v>3.24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Asta lato cerniere tagliabile (Drehbandstulp) (202269)</t>
        </is>
      </c>
      <c r="B11" s="8" t="n">
        <v>1</v>
      </c>
      <c r="C11" s="6" t="n">
        <v>2.87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Cerniera angolare (ArtNrEcklager) (250400)</t>
        </is>
      </c>
      <c r="B12" s="8" t="n">
        <v>1</v>
      </c>
      <c r="C12" s="6" t="n">
        <v>5.45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Bandella cerniera angolare (ArtNrEcklagerband) (215806)</t>
        </is>
      </c>
      <c r="B13" s="8" t="n">
        <v>1</v>
      </c>
      <c r="C13" s="6" t="n">
        <v>2.33</v>
      </c>
      <c r="D13" s="4">
        <f>B13*C13</f>
        <v/>
      </c>
      <c r="E13" s="5" t="inlineStr">
        <is>
          <t>netto 2025</t>
        </is>
      </c>
    </row>
    <row r="14">
      <c r="A14" s="5" t="inlineStr">
        <is>
          <t>Scontro fungo IS (SchliessteilIS) (356361)</t>
        </is>
      </c>
      <c r="B14" s="8" t="n">
        <v>2</v>
      </c>
      <c r="C14" s="6" t="n">
        <v>0.3728</v>
      </c>
      <c r="D14" s="4">
        <f>B14*C14</f>
        <v/>
      </c>
      <c r="E14" s="5" t="inlineStr">
        <is>
          <t>netto 2025</t>
        </is>
      </c>
    </row>
    <row r="15">
      <c r="A15" s="5" t="inlineStr">
        <is>
          <t>Martellina DK — non nel netto 2025 (1033)</t>
        </is>
      </c>
      <c r="B15" s="8" t="n">
        <v>1</v>
      </c>
      <c r="C15" s="6" t="n">
        <v>5.5</v>
      </c>
      <c r="D15" s="4">
        <f>B15*C15</f>
        <v/>
      </c>
      <c r="E15" s="5" t="inlineStr">
        <is>
          <t>manuale</t>
        </is>
      </c>
    </row>
    <row r="16">
      <c r="A16" s="5" t="inlineStr">
        <is>
          <t>Scontro nottolino personalizzato (VZPersonalisiert) — NON a listino (355866)</t>
        </is>
      </c>
      <c r="B16" s="8" t="n">
        <v>4</v>
      </c>
      <c r="C16" s="6" t="n">
        <v>0</v>
      </c>
      <c r="D16" s="4">
        <f>B16*C16</f>
        <v/>
      </c>
      <c r="E16" s="5" t="inlineStr">
        <is>
          <t>da inserire</t>
        </is>
      </c>
    </row>
    <row r="17">
      <c r="A17" s="9" t="inlineStr">
        <is>
          <t>TOTALE FERRAMENTA</t>
        </is>
      </c>
      <c r="D17" s="10">
        <f>SUM(D2:D16)</f>
        <v/>
      </c>
    </row>
    <row r="19">
      <c r="A19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</row>
    <row r="2">
      <c r="A2" s="9" t="n">
        <v>500</v>
      </c>
      <c r="B2" s="4" t="n">
        <v>22.25</v>
      </c>
      <c r="C2" s="4" t="n">
        <v>25.12</v>
      </c>
      <c r="D2" s="4" t="n">
        <v>25.48</v>
      </c>
      <c r="E2" s="4" t="n">
        <v>25.48</v>
      </c>
      <c r="F2" s="4" t="n">
        <v>28.21</v>
      </c>
      <c r="G2" s="4" t="n">
        <v>28.21</v>
      </c>
      <c r="H2" s="4" t="n">
        <v>28.67</v>
      </c>
      <c r="I2" s="4" t="n">
        <v>29.15</v>
      </c>
    </row>
    <row r="3">
      <c r="A3" s="9" t="n">
        <v>600</v>
      </c>
      <c r="B3" s="4" t="n">
        <v>22.25</v>
      </c>
      <c r="C3" s="4" t="n">
        <v>25.12</v>
      </c>
      <c r="D3" s="4" t="n">
        <v>25.48</v>
      </c>
      <c r="E3" s="4" t="n">
        <v>25.48</v>
      </c>
      <c r="F3" s="4" t="n">
        <v>28.21</v>
      </c>
      <c r="G3" s="4" t="n">
        <v>28.21</v>
      </c>
      <c r="H3" s="4" t="n">
        <v>28.67</v>
      </c>
      <c r="I3" s="4" t="n">
        <v>29.15</v>
      </c>
    </row>
    <row r="4">
      <c r="A4" s="9" t="n">
        <v>700</v>
      </c>
      <c r="B4" s="4" t="n">
        <v>22.25</v>
      </c>
      <c r="C4" s="4" t="n">
        <v>25.12</v>
      </c>
      <c r="D4" s="4" t="n">
        <v>25.48</v>
      </c>
      <c r="E4" s="4" t="n">
        <v>25.48</v>
      </c>
      <c r="F4" s="4" t="n">
        <v>28.21</v>
      </c>
      <c r="G4" s="4" t="n">
        <v>28.21</v>
      </c>
      <c r="H4" s="4" t="n">
        <v>28.67</v>
      </c>
      <c r="I4" s="4" t="n">
        <v>29.15</v>
      </c>
    </row>
    <row r="5">
      <c r="A5" s="9" t="n">
        <v>800</v>
      </c>
      <c r="B5" s="4" t="n">
        <v>22.73</v>
      </c>
      <c r="C5" s="4" t="n">
        <v>25.6</v>
      </c>
      <c r="D5" s="4" t="n">
        <v>25.96</v>
      </c>
      <c r="E5" s="4" t="n">
        <v>25.96</v>
      </c>
      <c r="F5" s="4" t="n">
        <v>28.69</v>
      </c>
      <c r="G5" s="4" t="n">
        <v>28.69</v>
      </c>
      <c r="H5" s="4" t="n">
        <v>29.15</v>
      </c>
      <c r="I5" s="4" t="n">
        <v>29.63</v>
      </c>
    </row>
    <row r="6">
      <c r="A6" s="9" t="n">
        <v>900</v>
      </c>
      <c r="B6" s="4" t="n">
        <v>28.8</v>
      </c>
      <c r="C6" s="4" t="n">
        <v>31.67</v>
      </c>
      <c r="D6" s="4" t="n">
        <v>32.03</v>
      </c>
      <c r="E6" s="4" t="n">
        <v>32.03</v>
      </c>
      <c r="F6" s="4" t="n">
        <v>34.76</v>
      </c>
      <c r="G6" s="4" t="n">
        <v>34.76</v>
      </c>
      <c r="H6" s="4" t="n">
        <v>35.22</v>
      </c>
      <c r="I6" s="4" t="n">
        <v>35.7</v>
      </c>
    </row>
    <row r="7">
      <c r="A7" s="9" t="n">
        <v>1000</v>
      </c>
      <c r="B7" s="4" t="n">
        <v>29.52</v>
      </c>
      <c r="C7" s="4" t="n">
        <v>32.39</v>
      </c>
      <c r="D7" s="4" t="n">
        <v>32.75</v>
      </c>
      <c r="E7" s="4" t="n">
        <v>32.75</v>
      </c>
      <c r="F7" s="4" t="n">
        <v>35.48</v>
      </c>
      <c r="G7" s="4" t="n">
        <v>35.48</v>
      </c>
      <c r="H7" s="4" t="n">
        <v>35.94</v>
      </c>
      <c r="I7" s="4" t="n">
        <v>36.42</v>
      </c>
    </row>
    <row r="8">
      <c r="A8" s="9" t="n">
        <v>1100</v>
      </c>
      <c r="B8" s="4" t="n">
        <v>29.52</v>
      </c>
      <c r="C8" s="4" t="n">
        <v>32.39</v>
      </c>
      <c r="D8" s="4" t="n">
        <v>32.75</v>
      </c>
      <c r="E8" s="4" t="n">
        <v>32.75</v>
      </c>
      <c r="F8" s="4" t="n">
        <v>35.48</v>
      </c>
      <c r="G8" s="4" t="n">
        <v>35.48</v>
      </c>
      <c r="H8" s="4" t="n">
        <v>35.94</v>
      </c>
      <c r="I8" s="4" t="n">
        <v>36.42</v>
      </c>
    </row>
    <row r="9">
      <c r="A9" s="9" t="n">
        <v>1200</v>
      </c>
      <c r="B9" s="4" t="n">
        <v>30.06</v>
      </c>
      <c r="C9" s="4" t="n">
        <v>32.93</v>
      </c>
      <c r="D9" s="4" t="n">
        <v>33.29</v>
      </c>
      <c r="E9" s="4" t="n">
        <v>33.29</v>
      </c>
      <c r="F9" s="4" t="n">
        <v>36.02</v>
      </c>
      <c r="G9" s="4" t="n">
        <v>36.02</v>
      </c>
      <c r="H9" s="4" t="n">
        <v>36.48</v>
      </c>
      <c r="I9" s="4" t="n">
        <v>36.96</v>
      </c>
    </row>
    <row r="10">
      <c r="A10" s="9" t="n">
        <v>1300</v>
      </c>
      <c r="B10" s="4" t="n">
        <v>29.58</v>
      </c>
      <c r="C10" s="4" t="n">
        <v>32.45</v>
      </c>
      <c r="D10" s="4" t="n">
        <v>32.81</v>
      </c>
      <c r="E10" s="4" t="n">
        <v>32.81</v>
      </c>
      <c r="F10" s="4" t="n">
        <v>35.54</v>
      </c>
      <c r="G10" s="4" t="n">
        <v>35.54</v>
      </c>
      <c r="H10" s="4" t="n">
        <v>36</v>
      </c>
      <c r="I10" s="4" t="n">
        <v>36.48</v>
      </c>
    </row>
    <row r="11">
      <c r="A11" s="9" t="n">
        <v>1400</v>
      </c>
      <c r="B11" s="4" t="n">
        <v>29.84</v>
      </c>
      <c r="C11" s="4" t="n">
        <v>32.71</v>
      </c>
      <c r="D11" s="4" t="n">
        <v>33.07</v>
      </c>
      <c r="E11" s="4" t="n">
        <v>33.07</v>
      </c>
      <c r="F11" s="4" t="n">
        <v>35.8</v>
      </c>
      <c r="G11" s="4" t="n">
        <v>35.8</v>
      </c>
      <c r="H11" s="4" t="n">
        <v>36.26</v>
      </c>
      <c r="I11" s="4" t="n">
        <v>36.74</v>
      </c>
    </row>
    <row r="12">
      <c r="A12" s="9" t="n">
        <v>1500</v>
      </c>
      <c r="B12" s="4" t="n">
        <v>31.38</v>
      </c>
      <c r="C12" s="4" t="n">
        <v>34.25</v>
      </c>
      <c r="D12" s="4" t="n">
        <v>34.61</v>
      </c>
      <c r="E12" s="4" t="n">
        <v>34.61</v>
      </c>
      <c r="F12" s="4" t="n">
        <v>37.34</v>
      </c>
      <c r="G12" s="4" t="n">
        <v>37.34</v>
      </c>
      <c r="H12" s="4" t="n">
        <v>37.8</v>
      </c>
      <c r="I12" s="4" t="n">
        <v>38.28</v>
      </c>
    </row>
    <row r="13">
      <c r="A13" s="9" t="n">
        <v>1600</v>
      </c>
      <c r="B13" s="4" t="n">
        <v>31.53</v>
      </c>
      <c r="C13" s="4" t="n">
        <v>34.4</v>
      </c>
      <c r="D13" s="4" t="n">
        <v>34.76</v>
      </c>
      <c r="E13" s="4" t="n">
        <v>34.76</v>
      </c>
      <c r="F13" s="4" t="n">
        <v>37.49</v>
      </c>
      <c r="G13" s="4" t="n">
        <v>37.49</v>
      </c>
      <c r="H13" s="4" t="n">
        <v>37.95</v>
      </c>
      <c r="I13" s="4" t="n">
        <v>38.43</v>
      </c>
    </row>
    <row r="14">
      <c r="A14" s="9" t="n">
        <v>1700</v>
      </c>
      <c r="B14" s="4" t="n">
        <v>31.8</v>
      </c>
      <c r="C14" s="4" t="n">
        <v>34.67</v>
      </c>
      <c r="D14" s="4" t="n">
        <v>35.03</v>
      </c>
      <c r="E14" s="4" t="n">
        <v>35.03</v>
      </c>
      <c r="F14" s="4" t="n">
        <v>37.76</v>
      </c>
      <c r="G14" s="4" t="n">
        <v>37.76</v>
      </c>
      <c r="H14" s="4" t="n">
        <v>38.22</v>
      </c>
      <c r="I14" s="4" t="n">
        <v>38.7</v>
      </c>
    </row>
    <row r="15">
      <c r="A15" s="9" t="n">
        <v>1800</v>
      </c>
      <c r="B15" s="4" t="n">
        <v>32.42</v>
      </c>
      <c r="C15" s="4" t="n">
        <v>35.29</v>
      </c>
      <c r="D15" s="4" t="n">
        <v>35.65</v>
      </c>
      <c r="E15" s="4" t="n">
        <v>35.65</v>
      </c>
      <c r="F15" s="4" t="n">
        <v>38.38</v>
      </c>
      <c r="G15" s="4" t="n">
        <v>38.38</v>
      </c>
      <c r="H15" s="4" t="n">
        <v>38.84</v>
      </c>
      <c r="I15" s="4" t="n">
        <v>39.32</v>
      </c>
    </row>
    <row r="16">
      <c r="A16" s="9" t="n">
        <v>1900</v>
      </c>
      <c r="B16" s="4" t="n">
        <v>32.42</v>
      </c>
      <c r="C16" s="4" t="n">
        <v>35.29</v>
      </c>
      <c r="D16" s="4" t="n">
        <v>35.65</v>
      </c>
      <c r="E16" s="4" t="n">
        <v>35.65</v>
      </c>
      <c r="F16" s="4" t="n">
        <v>38.38</v>
      </c>
      <c r="G16" s="4" t="n">
        <v>38.38</v>
      </c>
      <c r="H16" s="4" t="n">
        <v>38.84</v>
      </c>
      <c r="I16" s="4" t="n">
        <v>39.32</v>
      </c>
    </row>
    <row r="17">
      <c r="A17" s="9" t="n">
        <v>2000</v>
      </c>
      <c r="B17" s="4" t="n">
        <v>32.42</v>
      </c>
      <c r="C17" s="4" t="n">
        <v>35.29</v>
      </c>
      <c r="D17" s="4" t="n">
        <v>35.65</v>
      </c>
      <c r="E17" s="4" t="n">
        <v>35.65</v>
      </c>
      <c r="F17" s="4" t="n">
        <v>38.38</v>
      </c>
      <c r="G17" s="4" t="n">
        <v>38.38</v>
      </c>
      <c r="H17" s="4" t="n">
        <v>38.84</v>
      </c>
      <c r="I17" s="4" t="n">
        <v>39.32</v>
      </c>
    </row>
    <row r="20">
      <c r="A20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2026-09-15T07:48:00Z</dcterms:created>
  <dcterms:modified xsi:type="dcterms:W3CDTF">2026-09-15T07:48:00Z</dcterms:modified>
</cp:coreProperties>
</file>