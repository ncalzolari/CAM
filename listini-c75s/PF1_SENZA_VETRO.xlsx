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Coefficienti!$B$1+Coefficienti!$B$2*B$2+Coefficienti!$B$3*$A3)*Parametri!$B$1*(1-Parametri!$B$2)+((Coefficienti!$B$4+Coefficienti!$B$5*B$2+Coefficienti!$B$6*$A3)+Coefficienti!$B$7)*(1-Parametri!$B$3))*(1+Parametri!$B$4)+Ferramenta!$D$11+Coefficienti!$B$8*Parametri!$B$5,2)*(1+Parametri!$B$6),2)</f>
        <v/>
      </c>
      <c r="C3" s="4">
        <f>ROUND(ROUND(((Coefficienti!$B$1+Coefficienti!$B$2*C$2+Coefficienti!$B$3*$A3)*Parametri!$B$1*(1-Parametri!$B$2)+((Coefficienti!$B$4+Coefficienti!$B$5*C$2+Coefficienti!$B$6*$A3)+Coefficienti!$B$7)*(1-Parametri!$B$3))*(1+Parametri!$B$4)+Ferramenta!$D$11+Coefficienti!$B$8*Parametri!$B$5,2)*(1+Parametri!$B$6),2)</f>
        <v/>
      </c>
      <c r="D3" s="4">
        <f>ROUND(ROUND(((Coefficienti!$B$1+Coefficienti!$B$2*D$2+Coefficienti!$B$3*$A3)*Parametri!$B$1*(1-Parametri!$B$2)+((Coefficienti!$B$4+Coefficienti!$B$5*D$2+Coefficienti!$B$6*$A3)+Coefficienti!$B$7)*(1-Parametri!$B$3))*(1+Parametri!$B$4)+Ferramenta!$D$11+Coefficienti!$B$8*Parametri!$B$5,2)*(1+Parametri!$B$6),2)</f>
        <v/>
      </c>
      <c r="E3" s="4">
        <f>ROUND(ROUND(((Coefficienti!$B$1+Coefficienti!$B$2*E$2+Coefficienti!$B$3*$A3)*Parametri!$B$1*(1-Parametri!$B$2)+((Coefficienti!$B$4+Coefficienti!$B$5*E$2+Coefficienti!$B$6*$A3)+Coefficienti!$B$7)*(1-Parametri!$B$3))*(1+Parametri!$B$4)+Ferramenta!$D$11+Coefficienti!$B$8*Parametri!$B$5,2)*(1+Parametri!$B$6),2)</f>
        <v/>
      </c>
      <c r="F3" s="4">
        <f>ROUND(ROUND(((Coefficienti!$B$1+Coefficienti!$B$2*F$2+Coefficienti!$B$3*$A3)*Parametri!$B$1*(1-Parametri!$B$2)+((Coefficienti!$B$4+Coefficienti!$B$5*F$2+Coefficienti!$B$6*$A3)+Coefficienti!$B$7)*(1-Parametri!$B$3))*(1+Parametri!$B$4)+Ferramenta!$D$11+Coefficienti!$B$8*Parametri!$B$5,2)*(1+Parametri!$B$6),2)</f>
        <v/>
      </c>
      <c r="G3" s="4">
        <f>ROUND(ROUND(((Coefficienti!$B$1+Coefficienti!$B$2*G$2+Coefficienti!$B$3*$A3)*Parametri!$B$1*(1-Parametri!$B$2)+((Coefficienti!$B$4+Coefficienti!$B$5*G$2+Coefficienti!$B$6*$A3)+Coefficienti!$B$7)*(1-Parametri!$B$3))*(1+Parametri!$B$4)+Ferramenta!$D$11+Coefficienti!$B$8*Parametri!$B$5,2)*(1+Parametri!$B$6),2)</f>
        <v/>
      </c>
      <c r="H3" s="4">
        <f>ROUND(ROUND(((Coefficienti!$B$1+Coefficienti!$B$2*H$2+Coefficienti!$B$3*$A3)*Parametri!$B$1*(1-Parametri!$B$2)+((Coefficienti!$B$4+Coefficienti!$B$5*H$2+Coefficienti!$B$6*$A3)+Coefficienti!$B$7)*(1-Parametri!$B$3))*(1+Parametri!$B$4)+Ferramenta!$D$11+Coefficienti!$B$8*Parametri!$B$5,2)*(1+Parametri!$B$6),2)</f>
        <v/>
      </c>
      <c r="I3" s="4">
        <f>ROUND(ROUND(((Coefficienti!$B$1+Coefficienti!$B$2*I$2+Coefficienti!$B$3*$A3)*Parametri!$B$1*(1-Parametri!$B$2)+((Coefficienti!$B$4+Coefficienti!$B$5*I$2+Coefficienti!$B$6*$A3)+Coefficienti!$B$7)*(1-Parametri!$B$3))*(1+Parametri!$B$4)+Ferramenta!$D$11+Coefficienti!$B$8*Parametri!$B$5,2)*(1+Parametri!$B$6),2)</f>
        <v/>
      </c>
    </row>
    <row r="4">
      <c r="A4" s="2" t="n">
        <v>2000</v>
      </c>
      <c r="B4" s="4">
        <f>ROUND(ROUND(((Coefficienti!$B$1+Coefficienti!$B$2*B$2+Coefficienti!$B$3*$A4)*Parametri!$B$1*(1-Parametri!$B$2)+((Coefficienti!$B$4+Coefficienti!$B$5*B$2+Coefficienti!$B$6*$A4)+Coefficienti!$B$7)*(1-Parametri!$B$3))*(1+Parametri!$B$4)+Ferramenta!$D$11+Coefficienti!$B$8*Parametri!$B$5,2)*(1+Parametri!$B$6),2)</f>
        <v/>
      </c>
      <c r="C4" s="4">
        <f>ROUND(ROUND(((Coefficienti!$B$1+Coefficienti!$B$2*C$2+Coefficienti!$B$3*$A4)*Parametri!$B$1*(1-Parametri!$B$2)+((Coefficienti!$B$4+Coefficienti!$B$5*C$2+Coefficienti!$B$6*$A4)+Coefficienti!$B$7)*(1-Parametri!$B$3))*(1+Parametri!$B$4)+Ferramenta!$D$11+Coefficienti!$B$8*Parametri!$B$5,2)*(1+Parametri!$B$6),2)</f>
        <v/>
      </c>
      <c r="D4" s="4">
        <f>ROUND(ROUND(((Coefficienti!$B$1+Coefficienti!$B$2*D$2+Coefficienti!$B$3*$A4)*Parametri!$B$1*(1-Parametri!$B$2)+((Coefficienti!$B$4+Coefficienti!$B$5*D$2+Coefficienti!$B$6*$A4)+Coefficienti!$B$7)*(1-Parametri!$B$3))*(1+Parametri!$B$4)+Ferramenta!$D$11+Coefficienti!$B$8*Parametri!$B$5,2)*(1+Parametri!$B$6),2)</f>
        <v/>
      </c>
      <c r="E4" s="4">
        <f>ROUND(ROUND(((Coefficienti!$B$1+Coefficienti!$B$2*E$2+Coefficienti!$B$3*$A4)*Parametri!$B$1*(1-Parametri!$B$2)+((Coefficienti!$B$4+Coefficienti!$B$5*E$2+Coefficienti!$B$6*$A4)+Coefficienti!$B$7)*(1-Parametri!$B$3))*(1+Parametri!$B$4)+Ferramenta!$D$11+Coefficienti!$B$8*Parametri!$B$5,2)*(1+Parametri!$B$6),2)</f>
        <v/>
      </c>
      <c r="F4" s="4">
        <f>ROUND(ROUND(((Coefficienti!$B$1+Coefficienti!$B$2*F$2+Coefficienti!$B$3*$A4)*Parametri!$B$1*(1-Parametri!$B$2)+((Coefficienti!$B$4+Coefficienti!$B$5*F$2+Coefficienti!$B$6*$A4)+Coefficienti!$B$7)*(1-Parametri!$B$3))*(1+Parametri!$B$4)+Ferramenta!$D$11+Coefficienti!$B$8*Parametri!$B$5,2)*(1+Parametri!$B$6),2)</f>
        <v/>
      </c>
      <c r="G4" s="4">
        <f>ROUND(ROUND(((Coefficienti!$B$1+Coefficienti!$B$2*G$2+Coefficienti!$B$3*$A4)*Parametri!$B$1*(1-Parametri!$B$2)+((Coefficienti!$B$4+Coefficienti!$B$5*G$2+Coefficienti!$B$6*$A4)+Coefficienti!$B$7)*(1-Parametri!$B$3))*(1+Parametri!$B$4)+Ferramenta!$D$11+Coefficienti!$B$8*Parametri!$B$5,2)*(1+Parametri!$B$6),2)</f>
        <v/>
      </c>
      <c r="H4" s="4">
        <f>ROUND(ROUND(((Coefficienti!$B$1+Coefficienti!$B$2*H$2+Coefficienti!$B$3*$A4)*Parametri!$B$1*(1-Parametri!$B$2)+((Coefficienti!$B$4+Coefficienti!$B$5*H$2+Coefficienti!$B$6*$A4)+Coefficienti!$B$7)*(1-Parametri!$B$3))*(1+Parametri!$B$4)+Ferramenta!$D$11+Coefficienti!$B$8*Parametri!$B$5,2)*(1+Parametri!$B$6),2)</f>
        <v/>
      </c>
      <c r="I4" s="4">
        <f>ROUND(ROUND(((Coefficienti!$B$1+Coefficienti!$B$2*I$2+Coefficienti!$B$3*$A4)*Parametri!$B$1*(1-Parametri!$B$2)+((Coefficienti!$B$4+Coefficienti!$B$5*I$2+Coefficienti!$B$6*$A4)+Coefficienti!$B$7)*(1-Parametri!$B$3))*(1+Parametri!$B$4)+Ferramenta!$D$11+Coefficienti!$B$8*Parametri!$B$5,2)*(1+Parametri!$B$6),2)</f>
        <v/>
      </c>
    </row>
    <row r="5">
      <c r="A5" s="2" t="n">
        <v>2100</v>
      </c>
      <c r="B5" s="4">
        <f>ROUND(ROUND(((Coefficienti!$B$1+Coefficienti!$B$2*B$2+Coefficienti!$B$3*$A5)*Parametri!$B$1*(1-Parametri!$B$2)+((Coefficienti!$B$4+Coefficienti!$B$5*B$2+Coefficienti!$B$6*$A5)+Coefficienti!$B$7)*(1-Parametri!$B$3))*(1+Parametri!$B$4)+Ferramenta!$D$11+Coefficienti!$B$8*Parametri!$B$5,2)*(1+Parametri!$B$6),2)</f>
        <v/>
      </c>
      <c r="C5" s="4">
        <f>ROUND(ROUND(((Coefficienti!$B$1+Coefficienti!$B$2*C$2+Coefficienti!$B$3*$A5)*Parametri!$B$1*(1-Parametri!$B$2)+((Coefficienti!$B$4+Coefficienti!$B$5*C$2+Coefficienti!$B$6*$A5)+Coefficienti!$B$7)*(1-Parametri!$B$3))*(1+Parametri!$B$4)+Ferramenta!$D$11+Coefficienti!$B$8*Parametri!$B$5,2)*(1+Parametri!$B$6),2)</f>
        <v/>
      </c>
      <c r="D5" s="4">
        <f>ROUND(ROUND(((Coefficienti!$B$1+Coefficienti!$B$2*D$2+Coefficienti!$B$3*$A5)*Parametri!$B$1*(1-Parametri!$B$2)+((Coefficienti!$B$4+Coefficienti!$B$5*D$2+Coefficienti!$B$6*$A5)+Coefficienti!$B$7)*(1-Parametri!$B$3))*(1+Parametri!$B$4)+Ferramenta!$D$11+Coefficienti!$B$8*Parametri!$B$5,2)*(1+Parametri!$B$6),2)</f>
        <v/>
      </c>
      <c r="E5" s="4">
        <f>ROUND(ROUND(((Coefficienti!$B$1+Coefficienti!$B$2*E$2+Coefficienti!$B$3*$A5)*Parametri!$B$1*(1-Parametri!$B$2)+((Coefficienti!$B$4+Coefficienti!$B$5*E$2+Coefficienti!$B$6*$A5)+Coefficienti!$B$7)*(1-Parametri!$B$3))*(1+Parametri!$B$4)+Ferramenta!$D$11+Coefficienti!$B$8*Parametri!$B$5,2)*(1+Parametri!$B$6),2)</f>
        <v/>
      </c>
      <c r="F5" s="4">
        <f>ROUND(ROUND(((Coefficienti!$B$1+Coefficienti!$B$2*F$2+Coefficienti!$B$3*$A5)*Parametri!$B$1*(1-Parametri!$B$2)+((Coefficienti!$B$4+Coefficienti!$B$5*F$2+Coefficienti!$B$6*$A5)+Coefficienti!$B$7)*(1-Parametri!$B$3))*(1+Parametri!$B$4)+Ferramenta!$D$11+Coefficienti!$B$8*Parametri!$B$5,2)*(1+Parametri!$B$6),2)</f>
        <v/>
      </c>
      <c r="G5" s="4">
        <f>ROUND(ROUND(((Coefficienti!$B$1+Coefficienti!$B$2*G$2+Coefficienti!$B$3*$A5)*Parametri!$B$1*(1-Parametri!$B$2)+((Coefficienti!$B$4+Coefficienti!$B$5*G$2+Coefficienti!$B$6*$A5)+Coefficienti!$B$7)*(1-Parametri!$B$3))*(1+Parametri!$B$4)+Ferramenta!$D$11+Coefficienti!$B$8*Parametri!$B$5,2)*(1+Parametri!$B$6),2)</f>
        <v/>
      </c>
      <c r="H5" s="4">
        <f>ROUND(ROUND(((Coefficienti!$B$1+Coefficienti!$B$2*H$2+Coefficienti!$B$3*$A5)*Parametri!$B$1*(1-Parametri!$B$2)+((Coefficienti!$B$4+Coefficienti!$B$5*H$2+Coefficienti!$B$6*$A5)+Coefficienti!$B$7)*(1-Parametri!$B$3))*(1+Parametri!$B$4)+Ferramenta!$D$11+Coefficienti!$B$8*Parametri!$B$5,2)*(1+Parametri!$B$6),2)</f>
        <v/>
      </c>
      <c r="I5" s="4">
        <f>ROUND(ROUND(((Coefficienti!$B$1+Coefficienti!$B$2*I$2+Coefficienti!$B$3*$A5)*Parametri!$B$1*(1-Parametri!$B$2)+((Coefficienti!$B$4+Coefficienti!$B$5*I$2+Coefficienti!$B$6*$A5)+Coefficienti!$B$7)*(1-Parametri!$B$3))*(1+Parametri!$B$4)+Ferramenta!$D$11+Coefficienti!$B$8*Parametri!$B$5,2)*(1+Parametri!$B$6),2)</f>
        <v/>
      </c>
    </row>
    <row r="6">
      <c r="A6" s="2" t="n">
        <v>2200</v>
      </c>
      <c r="B6" s="4">
        <f>ROUND(ROUND(((Coefficienti!$B$1+Coefficienti!$B$2*B$2+Coefficienti!$B$3*$A6)*Parametri!$B$1*(1-Parametri!$B$2)+((Coefficienti!$B$4+Coefficienti!$B$5*B$2+Coefficienti!$B$6*$A6)+Coefficienti!$B$7)*(1-Parametri!$B$3))*(1+Parametri!$B$4)+Ferramenta!$D$11+Coefficienti!$B$8*Parametri!$B$5,2)*(1+Parametri!$B$6),2)</f>
        <v/>
      </c>
      <c r="C6" s="4">
        <f>ROUND(ROUND(((Coefficienti!$B$1+Coefficienti!$B$2*C$2+Coefficienti!$B$3*$A6)*Parametri!$B$1*(1-Parametri!$B$2)+((Coefficienti!$B$4+Coefficienti!$B$5*C$2+Coefficienti!$B$6*$A6)+Coefficienti!$B$7)*(1-Parametri!$B$3))*(1+Parametri!$B$4)+Ferramenta!$D$11+Coefficienti!$B$8*Parametri!$B$5,2)*(1+Parametri!$B$6),2)</f>
        <v/>
      </c>
      <c r="D6" s="4">
        <f>ROUND(ROUND(((Coefficienti!$B$1+Coefficienti!$B$2*D$2+Coefficienti!$B$3*$A6)*Parametri!$B$1*(1-Parametri!$B$2)+((Coefficienti!$B$4+Coefficienti!$B$5*D$2+Coefficienti!$B$6*$A6)+Coefficienti!$B$7)*(1-Parametri!$B$3))*(1+Parametri!$B$4)+Ferramenta!$D$11+Coefficienti!$B$8*Parametri!$B$5,2)*(1+Parametri!$B$6),2)</f>
        <v/>
      </c>
      <c r="E6" s="4">
        <f>ROUND(ROUND(((Coefficienti!$B$1+Coefficienti!$B$2*E$2+Coefficienti!$B$3*$A6)*Parametri!$B$1*(1-Parametri!$B$2)+((Coefficienti!$B$4+Coefficienti!$B$5*E$2+Coefficienti!$B$6*$A6)+Coefficienti!$B$7)*(1-Parametri!$B$3))*(1+Parametri!$B$4)+Ferramenta!$D$11+Coefficienti!$B$8*Parametri!$B$5,2)*(1+Parametri!$B$6),2)</f>
        <v/>
      </c>
      <c r="F6" s="4">
        <f>ROUND(ROUND(((Coefficienti!$B$1+Coefficienti!$B$2*F$2+Coefficienti!$B$3*$A6)*Parametri!$B$1*(1-Parametri!$B$2)+((Coefficienti!$B$4+Coefficienti!$B$5*F$2+Coefficienti!$B$6*$A6)+Coefficienti!$B$7)*(1-Parametri!$B$3))*(1+Parametri!$B$4)+Ferramenta!$D$11+Coefficienti!$B$8*Parametri!$B$5,2)*(1+Parametri!$B$6),2)</f>
        <v/>
      </c>
      <c r="G6" s="4">
        <f>ROUND(ROUND(((Coefficienti!$B$1+Coefficienti!$B$2*G$2+Coefficienti!$B$3*$A6)*Parametri!$B$1*(1-Parametri!$B$2)+((Coefficienti!$B$4+Coefficienti!$B$5*G$2+Coefficienti!$B$6*$A6)+Coefficienti!$B$7)*(1-Parametri!$B$3))*(1+Parametri!$B$4)+Ferramenta!$D$11+Coefficienti!$B$8*Parametri!$B$5,2)*(1+Parametri!$B$6),2)</f>
        <v/>
      </c>
      <c r="H6" s="4">
        <f>ROUND(ROUND(((Coefficienti!$B$1+Coefficienti!$B$2*H$2+Coefficienti!$B$3*$A6)*Parametri!$B$1*(1-Parametri!$B$2)+((Coefficienti!$B$4+Coefficienti!$B$5*H$2+Coefficienti!$B$6*$A6)+Coefficienti!$B$7)*(1-Parametri!$B$3))*(1+Parametri!$B$4)+Ferramenta!$D$11+Coefficienti!$B$8*Parametri!$B$5,2)*(1+Parametri!$B$6),2)</f>
        <v/>
      </c>
      <c r="I6" s="4">
        <f>ROUND(ROUND(((Coefficienti!$B$1+Coefficienti!$B$2*I$2+Coefficienti!$B$3*$A6)*Parametri!$B$1*(1-Parametri!$B$2)+((Coefficienti!$B$4+Coefficienti!$B$5*I$2+Coefficienti!$B$6*$A6)+Coefficienti!$B$7)*(1-Parametri!$B$3))*(1+Parametri!$B$4)+Ferramenta!$D$11+Coefficienti!$B$8*Parametri!$B$5,2)*(1+Parametri!$B$6),2)</f>
        <v/>
      </c>
    </row>
    <row r="7">
      <c r="A7" s="2" t="n">
        <v>2300</v>
      </c>
      <c r="B7" s="4">
        <f>ROUND(ROUND(((Coefficienti!$B$1+Coefficienti!$B$2*B$2+Coefficienti!$B$3*$A7)*Parametri!$B$1*(1-Parametri!$B$2)+((Coefficienti!$B$4+Coefficienti!$B$5*B$2+Coefficienti!$B$6*$A7)+Coefficienti!$B$7)*(1-Parametri!$B$3))*(1+Parametri!$B$4)+Ferramenta!$D$11+Coefficienti!$B$8*Parametri!$B$5,2)*(1+Parametri!$B$6),2)</f>
        <v/>
      </c>
      <c r="C7" s="4">
        <f>ROUND(ROUND(((Coefficienti!$B$1+Coefficienti!$B$2*C$2+Coefficienti!$B$3*$A7)*Parametri!$B$1*(1-Parametri!$B$2)+((Coefficienti!$B$4+Coefficienti!$B$5*C$2+Coefficienti!$B$6*$A7)+Coefficienti!$B$7)*(1-Parametri!$B$3))*(1+Parametri!$B$4)+Ferramenta!$D$11+Coefficienti!$B$8*Parametri!$B$5,2)*(1+Parametri!$B$6),2)</f>
        <v/>
      </c>
      <c r="D7" s="4">
        <f>ROUND(ROUND(((Coefficienti!$B$1+Coefficienti!$B$2*D$2+Coefficienti!$B$3*$A7)*Parametri!$B$1*(1-Parametri!$B$2)+((Coefficienti!$B$4+Coefficienti!$B$5*D$2+Coefficienti!$B$6*$A7)+Coefficienti!$B$7)*(1-Parametri!$B$3))*(1+Parametri!$B$4)+Ferramenta!$D$11+Coefficienti!$B$8*Parametri!$B$5,2)*(1+Parametri!$B$6),2)</f>
        <v/>
      </c>
      <c r="E7" s="4">
        <f>ROUND(ROUND(((Coefficienti!$B$1+Coefficienti!$B$2*E$2+Coefficienti!$B$3*$A7)*Parametri!$B$1*(1-Parametri!$B$2)+((Coefficienti!$B$4+Coefficienti!$B$5*E$2+Coefficienti!$B$6*$A7)+Coefficienti!$B$7)*(1-Parametri!$B$3))*(1+Parametri!$B$4)+Ferramenta!$D$11+Coefficienti!$B$8*Parametri!$B$5,2)*(1+Parametri!$B$6),2)</f>
        <v/>
      </c>
      <c r="F7" s="4">
        <f>ROUND(ROUND(((Coefficienti!$B$1+Coefficienti!$B$2*F$2+Coefficienti!$B$3*$A7)*Parametri!$B$1*(1-Parametri!$B$2)+((Coefficienti!$B$4+Coefficienti!$B$5*F$2+Coefficienti!$B$6*$A7)+Coefficienti!$B$7)*(1-Parametri!$B$3))*(1+Parametri!$B$4)+Ferramenta!$D$11+Coefficienti!$B$8*Parametri!$B$5,2)*(1+Parametri!$B$6),2)</f>
        <v/>
      </c>
      <c r="G7" s="4">
        <f>ROUND(ROUND(((Coefficienti!$B$1+Coefficienti!$B$2*G$2+Coefficienti!$B$3*$A7)*Parametri!$B$1*(1-Parametri!$B$2)+((Coefficienti!$B$4+Coefficienti!$B$5*G$2+Coefficienti!$B$6*$A7)+Coefficienti!$B$7)*(1-Parametri!$B$3))*(1+Parametri!$B$4)+Ferramenta!$D$11+Coefficienti!$B$8*Parametri!$B$5,2)*(1+Parametri!$B$6),2)</f>
        <v/>
      </c>
      <c r="H7" s="4">
        <f>ROUND(ROUND(((Coefficienti!$B$1+Coefficienti!$B$2*H$2+Coefficienti!$B$3*$A7)*Parametri!$B$1*(1-Parametri!$B$2)+((Coefficienti!$B$4+Coefficienti!$B$5*H$2+Coefficienti!$B$6*$A7)+Coefficienti!$B$7)*(1-Parametri!$B$3))*(1+Parametri!$B$4)+Ferramenta!$D$11+Coefficienti!$B$8*Parametri!$B$5,2)*(1+Parametri!$B$6),2)</f>
        <v/>
      </c>
      <c r="I7" s="4">
        <f>ROUND(ROUND(((Coefficienti!$B$1+Coefficienti!$B$2*I$2+Coefficienti!$B$3*$A7)*Parametri!$B$1*(1-Parametri!$B$2)+((Coefficienti!$B$4+Coefficienti!$B$5*I$2+Coefficienti!$B$6*$A7)+Coefficienti!$B$7)*(1-Parametri!$B$3))*(1+Parametri!$B$4)+Ferramenta!$D$11+Coefficienti!$B$8*Parametri!$B$5,2)*(1+Parametri!$B$6),2)</f>
        <v/>
      </c>
    </row>
    <row r="8">
      <c r="A8" s="2" t="n">
        <v>2400</v>
      </c>
      <c r="B8" s="4">
        <f>ROUND(ROUND(((Coefficienti!$B$1+Coefficienti!$B$2*B$2+Coefficienti!$B$3*$A8)*Parametri!$B$1*(1-Parametri!$B$2)+((Coefficienti!$B$4+Coefficienti!$B$5*B$2+Coefficienti!$B$6*$A8)+Coefficienti!$B$7)*(1-Parametri!$B$3))*(1+Parametri!$B$4)+Ferramenta!$D$11+Coefficienti!$B$8*Parametri!$B$5,2)*(1+Parametri!$B$6),2)</f>
        <v/>
      </c>
      <c r="C8" s="4">
        <f>ROUND(ROUND(((Coefficienti!$B$1+Coefficienti!$B$2*C$2+Coefficienti!$B$3*$A8)*Parametri!$B$1*(1-Parametri!$B$2)+((Coefficienti!$B$4+Coefficienti!$B$5*C$2+Coefficienti!$B$6*$A8)+Coefficienti!$B$7)*(1-Parametri!$B$3))*(1+Parametri!$B$4)+Ferramenta!$D$11+Coefficienti!$B$8*Parametri!$B$5,2)*(1+Parametri!$B$6),2)</f>
        <v/>
      </c>
      <c r="D8" s="4">
        <f>ROUND(ROUND(((Coefficienti!$B$1+Coefficienti!$B$2*D$2+Coefficienti!$B$3*$A8)*Parametri!$B$1*(1-Parametri!$B$2)+((Coefficienti!$B$4+Coefficienti!$B$5*D$2+Coefficienti!$B$6*$A8)+Coefficienti!$B$7)*(1-Parametri!$B$3))*(1+Parametri!$B$4)+Ferramenta!$D$11+Coefficienti!$B$8*Parametri!$B$5,2)*(1+Parametri!$B$6),2)</f>
        <v/>
      </c>
      <c r="E8" s="4">
        <f>ROUND(ROUND(((Coefficienti!$B$1+Coefficienti!$B$2*E$2+Coefficienti!$B$3*$A8)*Parametri!$B$1*(1-Parametri!$B$2)+((Coefficienti!$B$4+Coefficienti!$B$5*E$2+Coefficienti!$B$6*$A8)+Coefficienti!$B$7)*(1-Parametri!$B$3))*(1+Parametri!$B$4)+Ferramenta!$D$11+Coefficienti!$B$8*Parametri!$B$5,2)*(1+Parametri!$B$6),2)</f>
        <v/>
      </c>
      <c r="F8" s="4">
        <f>ROUND(ROUND(((Coefficienti!$B$1+Coefficienti!$B$2*F$2+Coefficienti!$B$3*$A8)*Parametri!$B$1*(1-Parametri!$B$2)+((Coefficienti!$B$4+Coefficienti!$B$5*F$2+Coefficienti!$B$6*$A8)+Coefficienti!$B$7)*(1-Parametri!$B$3))*(1+Parametri!$B$4)+Ferramenta!$D$11+Coefficienti!$B$8*Parametri!$B$5,2)*(1+Parametri!$B$6),2)</f>
        <v/>
      </c>
      <c r="G8" s="4">
        <f>ROUND(ROUND(((Coefficienti!$B$1+Coefficienti!$B$2*G$2+Coefficienti!$B$3*$A8)*Parametri!$B$1*(1-Parametri!$B$2)+((Coefficienti!$B$4+Coefficienti!$B$5*G$2+Coefficienti!$B$6*$A8)+Coefficienti!$B$7)*(1-Parametri!$B$3))*(1+Parametri!$B$4)+Ferramenta!$D$11+Coefficienti!$B$8*Parametri!$B$5,2)*(1+Parametri!$B$6),2)</f>
        <v/>
      </c>
      <c r="H8" s="4">
        <f>ROUND(ROUND(((Coefficienti!$B$1+Coefficienti!$B$2*H$2+Coefficienti!$B$3*$A8)*Parametri!$B$1*(1-Parametri!$B$2)+((Coefficienti!$B$4+Coefficienti!$B$5*H$2+Coefficienti!$B$6*$A8)+Coefficienti!$B$7)*(1-Parametri!$B$3))*(1+Parametri!$B$4)+Ferramenta!$D$11+Coefficienti!$B$8*Parametri!$B$5,2)*(1+Parametri!$B$6),2)</f>
        <v/>
      </c>
      <c r="I8" s="4">
        <f>ROUND(ROUND(((Coefficienti!$B$1+Coefficienti!$B$2*I$2+Coefficienti!$B$3*$A8)*Parametri!$B$1*(1-Parametri!$B$2)+((Coefficienti!$B$4+Coefficienti!$B$5*I$2+Coefficienti!$B$6*$A8)+Coefficienti!$B$7)*(1-Parametri!$B$3))*(1+Parametri!$B$4)+Ferramenta!$D$11+Coefficienti!$B$8*Parametri!$B$5,2)*(1+Parametri!$B$6),2)</f>
        <v/>
      </c>
    </row>
    <row r="9">
      <c r="A9" s="2" t="n">
        <v>2500</v>
      </c>
      <c r="B9" s="4">
        <f>ROUND(ROUND(((Coefficienti!$B$1+Coefficienti!$B$2*B$2+Coefficienti!$B$3*$A9)*Parametri!$B$1*(1-Parametri!$B$2)+((Coefficienti!$B$4+Coefficienti!$B$5*B$2+Coefficienti!$B$6*$A9)+Coefficienti!$B$7)*(1-Parametri!$B$3))*(1+Parametri!$B$4)+Ferramenta!$D$11+Coefficienti!$B$8*Parametri!$B$5,2)*(1+Parametri!$B$6),2)</f>
        <v/>
      </c>
      <c r="C9" s="4">
        <f>ROUND(ROUND(((Coefficienti!$B$1+Coefficienti!$B$2*C$2+Coefficienti!$B$3*$A9)*Parametri!$B$1*(1-Parametri!$B$2)+((Coefficienti!$B$4+Coefficienti!$B$5*C$2+Coefficienti!$B$6*$A9)+Coefficienti!$B$7)*(1-Parametri!$B$3))*(1+Parametri!$B$4)+Ferramenta!$D$11+Coefficienti!$B$8*Parametri!$B$5,2)*(1+Parametri!$B$6),2)</f>
        <v/>
      </c>
      <c r="D9" s="4">
        <f>ROUND(ROUND(((Coefficienti!$B$1+Coefficienti!$B$2*D$2+Coefficienti!$B$3*$A9)*Parametri!$B$1*(1-Parametri!$B$2)+((Coefficienti!$B$4+Coefficienti!$B$5*D$2+Coefficienti!$B$6*$A9)+Coefficienti!$B$7)*(1-Parametri!$B$3))*(1+Parametri!$B$4)+Ferramenta!$D$11+Coefficienti!$B$8*Parametri!$B$5,2)*(1+Parametri!$B$6),2)</f>
        <v/>
      </c>
      <c r="E9" s="4">
        <f>ROUND(ROUND(((Coefficienti!$B$1+Coefficienti!$B$2*E$2+Coefficienti!$B$3*$A9)*Parametri!$B$1*(1-Parametri!$B$2)+((Coefficienti!$B$4+Coefficienti!$B$5*E$2+Coefficienti!$B$6*$A9)+Coefficienti!$B$7)*(1-Parametri!$B$3))*(1+Parametri!$B$4)+Ferramenta!$D$11+Coefficienti!$B$8*Parametri!$B$5,2)*(1+Parametri!$B$6),2)</f>
        <v/>
      </c>
      <c r="F9" s="4">
        <f>ROUND(ROUND(((Coefficienti!$B$1+Coefficienti!$B$2*F$2+Coefficienti!$B$3*$A9)*Parametri!$B$1*(1-Parametri!$B$2)+((Coefficienti!$B$4+Coefficienti!$B$5*F$2+Coefficienti!$B$6*$A9)+Coefficienti!$B$7)*(1-Parametri!$B$3))*(1+Parametri!$B$4)+Ferramenta!$D$11+Coefficienti!$B$8*Parametri!$B$5,2)*(1+Parametri!$B$6),2)</f>
        <v/>
      </c>
      <c r="G9" s="4">
        <f>ROUND(ROUND(((Coefficienti!$B$1+Coefficienti!$B$2*G$2+Coefficienti!$B$3*$A9)*Parametri!$B$1*(1-Parametri!$B$2)+((Coefficienti!$B$4+Coefficienti!$B$5*G$2+Coefficienti!$B$6*$A9)+Coefficienti!$B$7)*(1-Parametri!$B$3))*(1+Parametri!$B$4)+Ferramenta!$D$11+Coefficienti!$B$8*Parametri!$B$5,2)*(1+Parametri!$B$6),2)</f>
        <v/>
      </c>
      <c r="H9" s="4">
        <f>ROUND(ROUND(((Coefficienti!$B$1+Coefficienti!$B$2*H$2+Coefficienti!$B$3*$A9)*Parametri!$B$1*(1-Parametri!$B$2)+((Coefficienti!$B$4+Coefficienti!$B$5*H$2+Coefficienti!$B$6*$A9)+Coefficienti!$B$7)*(1-Parametri!$B$3))*(1+Parametri!$B$4)+Ferramenta!$D$11+Coefficienti!$B$8*Parametri!$B$5,2)*(1+Parametri!$B$6),2)</f>
        <v/>
      </c>
      <c r="I9" s="4">
        <f>ROUND(ROUND(((Coefficienti!$B$1+Coefficienti!$B$2*I$2+Coefficienti!$B$3*$A9)*Parametri!$B$1*(1-Parametri!$B$2)+((Coefficienti!$B$4+Coefficienti!$B$5*I$2+Coefficienti!$B$6*$A9)+Coefficienti!$B$7)*(1-Parametri!$B$3))*(1+Parametri!$B$4)+Ferramenta!$D$11+Coefficienti!$B$8*Parametri!$B$5,2)*(1+Parametri!$B$6),2)</f>
        <v/>
      </c>
    </row>
    <row r="10">
      <c r="A10" s="2" t="n">
        <v>2600</v>
      </c>
      <c r="B10" s="4">
        <f>ROUND(ROUND(((Coefficienti!$B$1+Coefficienti!$B$2*B$2+Coefficienti!$B$3*$A10)*Parametri!$B$1*(1-Parametri!$B$2)+((Coefficienti!$B$4+Coefficienti!$B$5*B$2+Coefficienti!$B$6*$A10)+Coefficienti!$B$7)*(1-Parametri!$B$3))*(1+Parametri!$B$4)+Ferramenta!$D$11+Coefficienti!$B$8*Parametri!$B$5,2)*(1+Parametri!$B$6),2)</f>
        <v/>
      </c>
      <c r="C10" s="4">
        <f>ROUND(ROUND(((Coefficienti!$B$1+Coefficienti!$B$2*C$2+Coefficienti!$B$3*$A10)*Parametri!$B$1*(1-Parametri!$B$2)+((Coefficienti!$B$4+Coefficienti!$B$5*C$2+Coefficienti!$B$6*$A10)+Coefficienti!$B$7)*(1-Parametri!$B$3))*(1+Parametri!$B$4)+Ferramenta!$D$11+Coefficienti!$B$8*Parametri!$B$5,2)*(1+Parametri!$B$6),2)</f>
        <v/>
      </c>
      <c r="D10" s="4">
        <f>ROUND(ROUND(((Coefficienti!$B$1+Coefficienti!$B$2*D$2+Coefficienti!$B$3*$A10)*Parametri!$B$1*(1-Parametri!$B$2)+((Coefficienti!$B$4+Coefficienti!$B$5*D$2+Coefficienti!$B$6*$A10)+Coefficienti!$B$7)*(1-Parametri!$B$3))*(1+Parametri!$B$4)+Ferramenta!$D$11+Coefficienti!$B$8*Parametri!$B$5,2)*(1+Parametri!$B$6),2)</f>
        <v/>
      </c>
      <c r="E10" s="4">
        <f>ROUND(ROUND(((Coefficienti!$B$1+Coefficienti!$B$2*E$2+Coefficienti!$B$3*$A10)*Parametri!$B$1*(1-Parametri!$B$2)+((Coefficienti!$B$4+Coefficienti!$B$5*E$2+Coefficienti!$B$6*$A10)+Coefficienti!$B$7)*(1-Parametri!$B$3))*(1+Parametri!$B$4)+Ferramenta!$D$11+Coefficienti!$B$8*Parametri!$B$5,2)*(1+Parametri!$B$6),2)</f>
        <v/>
      </c>
      <c r="F10" s="4">
        <f>ROUND(ROUND(((Coefficienti!$B$1+Coefficienti!$B$2*F$2+Coefficienti!$B$3*$A10)*Parametri!$B$1*(1-Parametri!$B$2)+((Coefficienti!$B$4+Coefficienti!$B$5*F$2+Coefficienti!$B$6*$A10)+Coefficienti!$B$7)*(1-Parametri!$B$3))*(1+Parametri!$B$4)+Ferramenta!$D$11+Coefficienti!$B$8*Parametri!$B$5,2)*(1+Parametri!$B$6),2)</f>
        <v/>
      </c>
      <c r="G10" s="4">
        <f>ROUND(ROUND(((Coefficienti!$B$1+Coefficienti!$B$2*G$2+Coefficienti!$B$3*$A10)*Parametri!$B$1*(1-Parametri!$B$2)+((Coefficienti!$B$4+Coefficienti!$B$5*G$2+Coefficienti!$B$6*$A10)+Coefficienti!$B$7)*(1-Parametri!$B$3))*(1+Parametri!$B$4)+Ferramenta!$D$11+Coefficienti!$B$8*Parametri!$B$5,2)*(1+Parametri!$B$6),2)</f>
        <v/>
      </c>
      <c r="H10" s="4">
        <f>ROUND(ROUND(((Coefficienti!$B$1+Coefficienti!$B$2*H$2+Coefficienti!$B$3*$A10)*Parametri!$B$1*(1-Parametri!$B$2)+((Coefficienti!$B$4+Coefficienti!$B$5*H$2+Coefficienti!$B$6*$A10)+Coefficienti!$B$7)*(1-Parametri!$B$3))*(1+Parametri!$B$4)+Ferramenta!$D$11+Coefficienti!$B$8*Parametri!$B$5,2)*(1+Parametri!$B$6),2)</f>
        <v/>
      </c>
      <c r="I10" s="4">
        <f>ROUND(ROUND(((Coefficienti!$B$1+Coefficienti!$B$2*I$2+Coefficienti!$B$3*$A10)*Parametri!$B$1*(1-Parametri!$B$2)+((Coefficienti!$B$4+Coefficienti!$B$5*I$2+Coefficienti!$B$6*$A10)+Coefficienti!$B$7)*(1-Parametri!$B$3))*(1+Parametri!$B$4)+Ferramenta!$D$11+Coefficienti!$B$8*Parametri!$B$5,2)*(1+Parametri!$B$6),2)</f>
        <v/>
      </c>
    </row>
    <row r="11">
      <c r="A11" s="2" t="n">
        <v>2700</v>
      </c>
      <c r="B11" s="4">
        <f>ROUND(ROUND(((Coefficienti!$B$1+Coefficienti!$B$2*B$2+Coefficienti!$B$3*$A11)*Parametri!$B$1*(1-Parametri!$B$2)+((Coefficienti!$B$4+Coefficienti!$B$5*B$2+Coefficienti!$B$6*$A11)+Coefficienti!$B$7)*(1-Parametri!$B$3))*(1+Parametri!$B$4)+Ferramenta!$D$11+Coefficienti!$B$8*Parametri!$B$5,2)*(1+Parametri!$B$6),2)</f>
        <v/>
      </c>
      <c r="C11" s="4">
        <f>ROUND(ROUND(((Coefficienti!$B$1+Coefficienti!$B$2*C$2+Coefficienti!$B$3*$A11)*Parametri!$B$1*(1-Parametri!$B$2)+((Coefficienti!$B$4+Coefficienti!$B$5*C$2+Coefficienti!$B$6*$A11)+Coefficienti!$B$7)*(1-Parametri!$B$3))*(1+Parametri!$B$4)+Ferramenta!$D$11+Coefficienti!$B$8*Parametri!$B$5,2)*(1+Parametri!$B$6),2)</f>
        <v/>
      </c>
      <c r="D11" s="4">
        <f>ROUND(ROUND(((Coefficienti!$B$1+Coefficienti!$B$2*D$2+Coefficienti!$B$3*$A11)*Parametri!$B$1*(1-Parametri!$B$2)+((Coefficienti!$B$4+Coefficienti!$B$5*D$2+Coefficienti!$B$6*$A11)+Coefficienti!$B$7)*(1-Parametri!$B$3))*(1+Parametri!$B$4)+Ferramenta!$D$11+Coefficienti!$B$8*Parametri!$B$5,2)*(1+Parametri!$B$6),2)</f>
        <v/>
      </c>
      <c r="E11" s="4">
        <f>ROUND(ROUND(((Coefficienti!$B$1+Coefficienti!$B$2*E$2+Coefficienti!$B$3*$A11)*Parametri!$B$1*(1-Parametri!$B$2)+((Coefficienti!$B$4+Coefficienti!$B$5*E$2+Coefficienti!$B$6*$A11)+Coefficienti!$B$7)*(1-Parametri!$B$3))*(1+Parametri!$B$4)+Ferramenta!$D$11+Coefficienti!$B$8*Parametri!$B$5,2)*(1+Parametri!$B$6),2)</f>
        <v/>
      </c>
      <c r="F11" s="4">
        <f>ROUND(ROUND(((Coefficienti!$B$1+Coefficienti!$B$2*F$2+Coefficienti!$B$3*$A11)*Parametri!$B$1*(1-Parametri!$B$2)+((Coefficienti!$B$4+Coefficienti!$B$5*F$2+Coefficienti!$B$6*$A11)+Coefficienti!$B$7)*(1-Parametri!$B$3))*(1+Parametri!$B$4)+Ferramenta!$D$11+Coefficienti!$B$8*Parametri!$B$5,2)*(1+Parametri!$B$6),2)</f>
        <v/>
      </c>
      <c r="G11" s="4">
        <f>ROUND(ROUND(((Coefficienti!$B$1+Coefficienti!$B$2*G$2+Coefficienti!$B$3*$A11)*Parametri!$B$1*(1-Parametri!$B$2)+((Coefficienti!$B$4+Coefficienti!$B$5*G$2+Coefficienti!$B$6*$A11)+Coefficienti!$B$7)*(1-Parametri!$B$3))*(1+Parametri!$B$4)+Ferramenta!$D$11+Coefficienti!$B$8*Parametri!$B$5,2)*(1+Parametri!$B$6),2)</f>
        <v/>
      </c>
      <c r="H11" s="4">
        <f>ROUND(ROUND(((Coefficienti!$B$1+Coefficienti!$B$2*H$2+Coefficienti!$B$3*$A11)*Parametri!$B$1*(1-Parametri!$B$2)+((Coefficienti!$B$4+Coefficienti!$B$5*H$2+Coefficienti!$B$6*$A11)+Coefficienti!$B$7)*(1-Parametri!$B$3))*(1+Parametri!$B$4)+Ferramenta!$D$11+Coefficienti!$B$8*Parametri!$B$5,2)*(1+Parametri!$B$6),2)</f>
        <v/>
      </c>
      <c r="I11" s="4">
        <f>ROUND(ROUND(((Coefficienti!$B$1+Coefficienti!$B$2*I$2+Coefficienti!$B$3*$A11)*Parametri!$B$1*(1-Parametri!$B$2)+((Coefficienti!$B$4+Coefficienti!$B$5*I$2+Coefficienti!$B$6*$A11)+Coefficienti!$B$7)*(1-Parametri!$B$3))*(1+Parametri!$B$4)+Ferramenta!$D$11+Coefficienti!$B$8*Parametri!$B$5,2)*(1+Parametri!$B$6)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Coefficienti!$B$1+Coefficienti!$B$2*B$15+Coefficienti!$B$3*$A16)*Parametri!$B$1*(1-Parametri!$B$2)+((Coefficienti!$B$4+Coefficienti!$B$5*B$15+Coefficienti!$B$6*$A16)+Coefficienti!$B$7)*(1-Parametri!$B$3))*(1+Parametri!$B$4)+Ferramenta!$D$11+Coefficienti!$B$8*Parametri!$B$5,2)</f>
        <v/>
      </c>
      <c r="C16" s="4">
        <f>ROUND(((Coefficienti!$B$1+Coefficienti!$B$2*C$15+Coefficienti!$B$3*$A16)*Parametri!$B$1*(1-Parametri!$B$2)+((Coefficienti!$B$4+Coefficienti!$B$5*C$15+Coefficienti!$B$6*$A16)+Coefficienti!$B$7)*(1-Parametri!$B$3))*(1+Parametri!$B$4)+Ferramenta!$D$11+Coefficienti!$B$8*Parametri!$B$5,2)</f>
        <v/>
      </c>
      <c r="D16" s="4">
        <f>ROUND(((Coefficienti!$B$1+Coefficienti!$B$2*D$15+Coefficienti!$B$3*$A16)*Parametri!$B$1*(1-Parametri!$B$2)+((Coefficienti!$B$4+Coefficienti!$B$5*D$15+Coefficienti!$B$6*$A16)+Coefficienti!$B$7)*(1-Parametri!$B$3))*(1+Parametri!$B$4)+Ferramenta!$D$11+Coefficienti!$B$8*Parametri!$B$5,2)</f>
        <v/>
      </c>
      <c r="E16" s="4">
        <f>ROUND(((Coefficienti!$B$1+Coefficienti!$B$2*E$15+Coefficienti!$B$3*$A16)*Parametri!$B$1*(1-Parametri!$B$2)+((Coefficienti!$B$4+Coefficienti!$B$5*E$15+Coefficienti!$B$6*$A16)+Coefficienti!$B$7)*(1-Parametri!$B$3))*(1+Parametri!$B$4)+Ferramenta!$D$11+Coefficienti!$B$8*Parametri!$B$5,2)</f>
        <v/>
      </c>
      <c r="F16" s="4">
        <f>ROUND(((Coefficienti!$B$1+Coefficienti!$B$2*F$15+Coefficienti!$B$3*$A16)*Parametri!$B$1*(1-Parametri!$B$2)+((Coefficienti!$B$4+Coefficienti!$B$5*F$15+Coefficienti!$B$6*$A16)+Coefficienti!$B$7)*(1-Parametri!$B$3))*(1+Parametri!$B$4)+Ferramenta!$D$11+Coefficienti!$B$8*Parametri!$B$5,2)</f>
        <v/>
      </c>
      <c r="G16" s="4">
        <f>ROUND(((Coefficienti!$B$1+Coefficienti!$B$2*G$15+Coefficienti!$B$3*$A16)*Parametri!$B$1*(1-Parametri!$B$2)+((Coefficienti!$B$4+Coefficienti!$B$5*G$15+Coefficienti!$B$6*$A16)+Coefficienti!$B$7)*(1-Parametri!$B$3))*(1+Parametri!$B$4)+Ferramenta!$D$11+Coefficienti!$B$8*Parametri!$B$5,2)</f>
        <v/>
      </c>
      <c r="H16" s="4">
        <f>ROUND(((Coefficienti!$B$1+Coefficienti!$B$2*H$15+Coefficienti!$B$3*$A16)*Parametri!$B$1*(1-Parametri!$B$2)+((Coefficienti!$B$4+Coefficienti!$B$5*H$15+Coefficienti!$B$6*$A16)+Coefficienti!$B$7)*(1-Parametri!$B$3))*(1+Parametri!$B$4)+Ferramenta!$D$11+Coefficienti!$B$8*Parametri!$B$5,2)</f>
        <v/>
      </c>
      <c r="I16" s="4">
        <f>ROUND(((Coefficienti!$B$1+Coefficienti!$B$2*I$15+Coefficienti!$B$3*$A16)*Parametri!$B$1*(1-Parametri!$B$2)+((Coefficienti!$B$4+Coefficienti!$B$5*I$15+Coefficienti!$B$6*$A16)+Coefficienti!$B$7)*(1-Parametri!$B$3))*(1+Parametri!$B$4)+Ferramenta!$D$11+Coefficienti!$B$8*Parametri!$B$5,2)</f>
        <v/>
      </c>
    </row>
    <row r="17">
      <c r="A17" s="2" t="n">
        <v>2000</v>
      </c>
      <c r="B17" s="4">
        <f>ROUND(((Coefficienti!$B$1+Coefficienti!$B$2*B$15+Coefficienti!$B$3*$A17)*Parametri!$B$1*(1-Parametri!$B$2)+((Coefficienti!$B$4+Coefficienti!$B$5*B$15+Coefficienti!$B$6*$A17)+Coefficienti!$B$7)*(1-Parametri!$B$3))*(1+Parametri!$B$4)+Ferramenta!$D$11+Coefficienti!$B$8*Parametri!$B$5,2)</f>
        <v/>
      </c>
      <c r="C17" s="4">
        <f>ROUND(((Coefficienti!$B$1+Coefficienti!$B$2*C$15+Coefficienti!$B$3*$A17)*Parametri!$B$1*(1-Parametri!$B$2)+((Coefficienti!$B$4+Coefficienti!$B$5*C$15+Coefficienti!$B$6*$A17)+Coefficienti!$B$7)*(1-Parametri!$B$3))*(1+Parametri!$B$4)+Ferramenta!$D$11+Coefficienti!$B$8*Parametri!$B$5,2)</f>
        <v/>
      </c>
      <c r="D17" s="4">
        <f>ROUND(((Coefficienti!$B$1+Coefficienti!$B$2*D$15+Coefficienti!$B$3*$A17)*Parametri!$B$1*(1-Parametri!$B$2)+((Coefficienti!$B$4+Coefficienti!$B$5*D$15+Coefficienti!$B$6*$A17)+Coefficienti!$B$7)*(1-Parametri!$B$3))*(1+Parametri!$B$4)+Ferramenta!$D$11+Coefficienti!$B$8*Parametri!$B$5,2)</f>
        <v/>
      </c>
      <c r="E17" s="4">
        <f>ROUND(((Coefficienti!$B$1+Coefficienti!$B$2*E$15+Coefficienti!$B$3*$A17)*Parametri!$B$1*(1-Parametri!$B$2)+((Coefficienti!$B$4+Coefficienti!$B$5*E$15+Coefficienti!$B$6*$A17)+Coefficienti!$B$7)*(1-Parametri!$B$3))*(1+Parametri!$B$4)+Ferramenta!$D$11+Coefficienti!$B$8*Parametri!$B$5,2)</f>
        <v/>
      </c>
      <c r="F17" s="4">
        <f>ROUND(((Coefficienti!$B$1+Coefficienti!$B$2*F$15+Coefficienti!$B$3*$A17)*Parametri!$B$1*(1-Parametri!$B$2)+((Coefficienti!$B$4+Coefficienti!$B$5*F$15+Coefficienti!$B$6*$A17)+Coefficienti!$B$7)*(1-Parametri!$B$3))*(1+Parametri!$B$4)+Ferramenta!$D$11+Coefficienti!$B$8*Parametri!$B$5,2)</f>
        <v/>
      </c>
      <c r="G17" s="4">
        <f>ROUND(((Coefficienti!$B$1+Coefficienti!$B$2*G$15+Coefficienti!$B$3*$A17)*Parametri!$B$1*(1-Parametri!$B$2)+((Coefficienti!$B$4+Coefficienti!$B$5*G$15+Coefficienti!$B$6*$A17)+Coefficienti!$B$7)*(1-Parametri!$B$3))*(1+Parametri!$B$4)+Ferramenta!$D$11+Coefficienti!$B$8*Parametri!$B$5,2)</f>
        <v/>
      </c>
      <c r="H17" s="4">
        <f>ROUND(((Coefficienti!$B$1+Coefficienti!$B$2*H$15+Coefficienti!$B$3*$A17)*Parametri!$B$1*(1-Parametri!$B$2)+((Coefficienti!$B$4+Coefficienti!$B$5*H$15+Coefficienti!$B$6*$A17)+Coefficienti!$B$7)*(1-Parametri!$B$3))*(1+Parametri!$B$4)+Ferramenta!$D$11+Coefficienti!$B$8*Parametri!$B$5,2)</f>
        <v/>
      </c>
      <c r="I17" s="4">
        <f>ROUND(((Coefficienti!$B$1+Coefficienti!$B$2*I$15+Coefficienti!$B$3*$A17)*Parametri!$B$1*(1-Parametri!$B$2)+((Coefficienti!$B$4+Coefficienti!$B$5*I$15+Coefficienti!$B$6*$A17)+Coefficienti!$B$7)*(1-Parametri!$B$3))*(1+Parametri!$B$4)+Ferramenta!$D$11+Coefficienti!$B$8*Parametri!$B$5,2)</f>
        <v/>
      </c>
    </row>
    <row r="18">
      <c r="A18" s="2" t="n">
        <v>2100</v>
      </c>
      <c r="B18" s="4">
        <f>ROUND(((Coefficienti!$B$1+Coefficienti!$B$2*B$15+Coefficienti!$B$3*$A18)*Parametri!$B$1*(1-Parametri!$B$2)+((Coefficienti!$B$4+Coefficienti!$B$5*B$15+Coefficienti!$B$6*$A18)+Coefficienti!$B$7)*(1-Parametri!$B$3))*(1+Parametri!$B$4)+Ferramenta!$D$11+Coefficienti!$B$8*Parametri!$B$5,2)</f>
        <v/>
      </c>
      <c r="C18" s="4">
        <f>ROUND(((Coefficienti!$B$1+Coefficienti!$B$2*C$15+Coefficienti!$B$3*$A18)*Parametri!$B$1*(1-Parametri!$B$2)+((Coefficienti!$B$4+Coefficienti!$B$5*C$15+Coefficienti!$B$6*$A18)+Coefficienti!$B$7)*(1-Parametri!$B$3))*(1+Parametri!$B$4)+Ferramenta!$D$11+Coefficienti!$B$8*Parametri!$B$5,2)</f>
        <v/>
      </c>
      <c r="D18" s="4">
        <f>ROUND(((Coefficienti!$B$1+Coefficienti!$B$2*D$15+Coefficienti!$B$3*$A18)*Parametri!$B$1*(1-Parametri!$B$2)+((Coefficienti!$B$4+Coefficienti!$B$5*D$15+Coefficienti!$B$6*$A18)+Coefficienti!$B$7)*(1-Parametri!$B$3))*(1+Parametri!$B$4)+Ferramenta!$D$11+Coefficienti!$B$8*Parametri!$B$5,2)</f>
        <v/>
      </c>
      <c r="E18" s="4">
        <f>ROUND(((Coefficienti!$B$1+Coefficienti!$B$2*E$15+Coefficienti!$B$3*$A18)*Parametri!$B$1*(1-Parametri!$B$2)+((Coefficienti!$B$4+Coefficienti!$B$5*E$15+Coefficienti!$B$6*$A18)+Coefficienti!$B$7)*(1-Parametri!$B$3))*(1+Parametri!$B$4)+Ferramenta!$D$11+Coefficienti!$B$8*Parametri!$B$5,2)</f>
        <v/>
      </c>
      <c r="F18" s="4">
        <f>ROUND(((Coefficienti!$B$1+Coefficienti!$B$2*F$15+Coefficienti!$B$3*$A18)*Parametri!$B$1*(1-Parametri!$B$2)+((Coefficienti!$B$4+Coefficienti!$B$5*F$15+Coefficienti!$B$6*$A18)+Coefficienti!$B$7)*(1-Parametri!$B$3))*(1+Parametri!$B$4)+Ferramenta!$D$11+Coefficienti!$B$8*Parametri!$B$5,2)</f>
        <v/>
      </c>
      <c r="G18" s="4">
        <f>ROUND(((Coefficienti!$B$1+Coefficienti!$B$2*G$15+Coefficienti!$B$3*$A18)*Parametri!$B$1*(1-Parametri!$B$2)+((Coefficienti!$B$4+Coefficienti!$B$5*G$15+Coefficienti!$B$6*$A18)+Coefficienti!$B$7)*(1-Parametri!$B$3))*(1+Parametri!$B$4)+Ferramenta!$D$11+Coefficienti!$B$8*Parametri!$B$5,2)</f>
        <v/>
      </c>
      <c r="H18" s="4">
        <f>ROUND(((Coefficienti!$B$1+Coefficienti!$B$2*H$15+Coefficienti!$B$3*$A18)*Parametri!$B$1*(1-Parametri!$B$2)+((Coefficienti!$B$4+Coefficienti!$B$5*H$15+Coefficienti!$B$6*$A18)+Coefficienti!$B$7)*(1-Parametri!$B$3))*(1+Parametri!$B$4)+Ferramenta!$D$11+Coefficienti!$B$8*Parametri!$B$5,2)</f>
        <v/>
      </c>
      <c r="I18" s="4">
        <f>ROUND(((Coefficienti!$B$1+Coefficienti!$B$2*I$15+Coefficienti!$B$3*$A18)*Parametri!$B$1*(1-Parametri!$B$2)+((Coefficienti!$B$4+Coefficienti!$B$5*I$15+Coefficienti!$B$6*$A18)+Coefficienti!$B$7)*(1-Parametri!$B$3))*(1+Parametri!$B$4)+Ferramenta!$D$11+Coefficienti!$B$8*Parametri!$B$5,2)</f>
        <v/>
      </c>
    </row>
    <row r="19">
      <c r="A19" s="2" t="n">
        <v>2200</v>
      </c>
      <c r="B19" s="4">
        <f>ROUND(((Coefficienti!$B$1+Coefficienti!$B$2*B$15+Coefficienti!$B$3*$A19)*Parametri!$B$1*(1-Parametri!$B$2)+((Coefficienti!$B$4+Coefficienti!$B$5*B$15+Coefficienti!$B$6*$A19)+Coefficienti!$B$7)*(1-Parametri!$B$3))*(1+Parametri!$B$4)+Ferramenta!$D$11+Coefficienti!$B$8*Parametri!$B$5,2)</f>
        <v/>
      </c>
      <c r="C19" s="4">
        <f>ROUND(((Coefficienti!$B$1+Coefficienti!$B$2*C$15+Coefficienti!$B$3*$A19)*Parametri!$B$1*(1-Parametri!$B$2)+((Coefficienti!$B$4+Coefficienti!$B$5*C$15+Coefficienti!$B$6*$A19)+Coefficienti!$B$7)*(1-Parametri!$B$3))*(1+Parametri!$B$4)+Ferramenta!$D$11+Coefficienti!$B$8*Parametri!$B$5,2)</f>
        <v/>
      </c>
      <c r="D19" s="4">
        <f>ROUND(((Coefficienti!$B$1+Coefficienti!$B$2*D$15+Coefficienti!$B$3*$A19)*Parametri!$B$1*(1-Parametri!$B$2)+((Coefficienti!$B$4+Coefficienti!$B$5*D$15+Coefficienti!$B$6*$A19)+Coefficienti!$B$7)*(1-Parametri!$B$3))*(1+Parametri!$B$4)+Ferramenta!$D$11+Coefficienti!$B$8*Parametri!$B$5,2)</f>
        <v/>
      </c>
      <c r="E19" s="4">
        <f>ROUND(((Coefficienti!$B$1+Coefficienti!$B$2*E$15+Coefficienti!$B$3*$A19)*Parametri!$B$1*(1-Parametri!$B$2)+((Coefficienti!$B$4+Coefficienti!$B$5*E$15+Coefficienti!$B$6*$A19)+Coefficienti!$B$7)*(1-Parametri!$B$3))*(1+Parametri!$B$4)+Ferramenta!$D$11+Coefficienti!$B$8*Parametri!$B$5,2)</f>
        <v/>
      </c>
      <c r="F19" s="4">
        <f>ROUND(((Coefficienti!$B$1+Coefficienti!$B$2*F$15+Coefficienti!$B$3*$A19)*Parametri!$B$1*(1-Parametri!$B$2)+((Coefficienti!$B$4+Coefficienti!$B$5*F$15+Coefficienti!$B$6*$A19)+Coefficienti!$B$7)*(1-Parametri!$B$3))*(1+Parametri!$B$4)+Ferramenta!$D$11+Coefficienti!$B$8*Parametri!$B$5,2)</f>
        <v/>
      </c>
      <c r="G19" s="4">
        <f>ROUND(((Coefficienti!$B$1+Coefficienti!$B$2*G$15+Coefficienti!$B$3*$A19)*Parametri!$B$1*(1-Parametri!$B$2)+((Coefficienti!$B$4+Coefficienti!$B$5*G$15+Coefficienti!$B$6*$A19)+Coefficienti!$B$7)*(1-Parametri!$B$3))*(1+Parametri!$B$4)+Ferramenta!$D$11+Coefficienti!$B$8*Parametri!$B$5,2)</f>
        <v/>
      </c>
      <c r="H19" s="4">
        <f>ROUND(((Coefficienti!$B$1+Coefficienti!$B$2*H$15+Coefficienti!$B$3*$A19)*Parametri!$B$1*(1-Parametri!$B$2)+((Coefficienti!$B$4+Coefficienti!$B$5*H$15+Coefficienti!$B$6*$A19)+Coefficienti!$B$7)*(1-Parametri!$B$3))*(1+Parametri!$B$4)+Ferramenta!$D$11+Coefficienti!$B$8*Parametri!$B$5,2)</f>
        <v/>
      </c>
      <c r="I19" s="4">
        <f>ROUND(((Coefficienti!$B$1+Coefficienti!$B$2*I$15+Coefficienti!$B$3*$A19)*Parametri!$B$1*(1-Parametri!$B$2)+((Coefficienti!$B$4+Coefficienti!$B$5*I$15+Coefficienti!$B$6*$A19)+Coefficienti!$B$7)*(1-Parametri!$B$3))*(1+Parametri!$B$4)+Ferramenta!$D$11+Coefficienti!$B$8*Parametri!$B$5,2)</f>
        <v/>
      </c>
    </row>
    <row r="20">
      <c r="A20" s="2" t="n">
        <v>2300</v>
      </c>
      <c r="B20" s="4">
        <f>ROUND(((Coefficienti!$B$1+Coefficienti!$B$2*B$15+Coefficienti!$B$3*$A20)*Parametri!$B$1*(1-Parametri!$B$2)+((Coefficienti!$B$4+Coefficienti!$B$5*B$15+Coefficienti!$B$6*$A20)+Coefficienti!$B$7)*(1-Parametri!$B$3))*(1+Parametri!$B$4)+Ferramenta!$D$11+Coefficienti!$B$8*Parametri!$B$5,2)</f>
        <v/>
      </c>
      <c r="C20" s="4">
        <f>ROUND(((Coefficienti!$B$1+Coefficienti!$B$2*C$15+Coefficienti!$B$3*$A20)*Parametri!$B$1*(1-Parametri!$B$2)+((Coefficienti!$B$4+Coefficienti!$B$5*C$15+Coefficienti!$B$6*$A20)+Coefficienti!$B$7)*(1-Parametri!$B$3))*(1+Parametri!$B$4)+Ferramenta!$D$11+Coefficienti!$B$8*Parametri!$B$5,2)</f>
        <v/>
      </c>
      <c r="D20" s="4">
        <f>ROUND(((Coefficienti!$B$1+Coefficienti!$B$2*D$15+Coefficienti!$B$3*$A20)*Parametri!$B$1*(1-Parametri!$B$2)+((Coefficienti!$B$4+Coefficienti!$B$5*D$15+Coefficienti!$B$6*$A20)+Coefficienti!$B$7)*(1-Parametri!$B$3))*(1+Parametri!$B$4)+Ferramenta!$D$11+Coefficienti!$B$8*Parametri!$B$5,2)</f>
        <v/>
      </c>
      <c r="E20" s="4">
        <f>ROUND(((Coefficienti!$B$1+Coefficienti!$B$2*E$15+Coefficienti!$B$3*$A20)*Parametri!$B$1*(1-Parametri!$B$2)+((Coefficienti!$B$4+Coefficienti!$B$5*E$15+Coefficienti!$B$6*$A20)+Coefficienti!$B$7)*(1-Parametri!$B$3))*(1+Parametri!$B$4)+Ferramenta!$D$11+Coefficienti!$B$8*Parametri!$B$5,2)</f>
        <v/>
      </c>
      <c r="F20" s="4">
        <f>ROUND(((Coefficienti!$B$1+Coefficienti!$B$2*F$15+Coefficienti!$B$3*$A20)*Parametri!$B$1*(1-Parametri!$B$2)+((Coefficienti!$B$4+Coefficienti!$B$5*F$15+Coefficienti!$B$6*$A20)+Coefficienti!$B$7)*(1-Parametri!$B$3))*(1+Parametri!$B$4)+Ferramenta!$D$11+Coefficienti!$B$8*Parametri!$B$5,2)</f>
        <v/>
      </c>
      <c r="G20" s="4">
        <f>ROUND(((Coefficienti!$B$1+Coefficienti!$B$2*G$15+Coefficienti!$B$3*$A20)*Parametri!$B$1*(1-Parametri!$B$2)+((Coefficienti!$B$4+Coefficienti!$B$5*G$15+Coefficienti!$B$6*$A20)+Coefficienti!$B$7)*(1-Parametri!$B$3))*(1+Parametri!$B$4)+Ferramenta!$D$11+Coefficienti!$B$8*Parametri!$B$5,2)</f>
        <v/>
      </c>
      <c r="H20" s="4">
        <f>ROUND(((Coefficienti!$B$1+Coefficienti!$B$2*H$15+Coefficienti!$B$3*$A20)*Parametri!$B$1*(1-Parametri!$B$2)+((Coefficienti!$B$4+Coefficienti!$B$5*H$15+Coefficienti!$B$6*$A20)+Coefficienti!$B$7)*(1-Parametri!$B$3))*(1+Parametri!$B$4)+Ferramenta!$D$11+Coefficienti!$B$8*Parametri!$B$5,2)</f>
        <v/>
      </c>
      <c r="I20" s="4">
        <f>ROUND(((Coefficienti!$B$1+Coefficienti!$B$2*I$15+Coefficienti!$B$3*$A20)*Parametri!$B$1*(1-Parametri!$B$2)+((Coefficienti!$B$4+Coefficienti!$B$5*I$15+Coefficienti!$B$6*$A20)+Coefficienti!$B$7)*(1-Parametri!$B$3))*(1+Parametri!$B$4)+Ferramenta!$D$11+Coefficienti!$B$8*Parametri!$B$5,2)</f>
        <v/>
      </c>
    </row>
    <row r="21">
      <c r="A21" s="2" t="n">
        <v>2400</v>
      </c>
      <c r="B21" s="4">
        <f>ROUND(((Coefficienti!$B$1+Coefficienti!$B$2*B$15+Coefficienti!$B$3*$A21)*Parametri!$B$1*(1-Parametri!$B$2)+((Coefficienti!$B$4+Coefficienti!$B$5*B$15+Coefficienti!$B$6*$A21)+Coefficienti!$B$7)*(1-Parametri!$B$3))*(1+Parametri!$B$4)+Ferramenta!$D$11+Coefficienti!$B$8*Parametri!$B$5,2)</f>
        <v/>
      </c>
      <c r="C21" s="4">
        <f>ROUND(((Coefficienti!$B$1+Coefficienti!$B$2*C$15+Coefficienti!$B$3*$A21)*Parametri!$B$1*(1-Parametri!$B$2)+((Coefficienti!$B$4+Coefficienti!$B$5*C$15+Coefficienti!$B$6*$A21)+Coefficienti!$B$7)*(1-Parametri!$B$3))*(1+Parametri!$B$4)+Ferramenta!$D$11+Coefficienti!$B$8*Parametri!$B$5,2)</f>
        <v/>
      </c>
      <c r="D21" s="4">
        <f>ROUND(((Coefficienti!$B$1+Coefficienti!$B$2*D$15+Coefficienti!$B$3*$A21)*Parametri!$B$1*(1-Parametri!$B$2)+((Coefficienti!$B$4+Coefficienti!$B$5*D$15+Coefficienti!$B$6*$A21)+Coefficienti!$B$7)*(1-Parametri!$B$3))*(1+Parametri!$B$4)+Ferramenta!$D$11+Coefficienti!$B$8*Parametri!$B$5,2)</f>
        <v/>
      </c>
      <c r="E21" s="4">
        <f>ROUND(((Coefficienti!$B$1+Coefficienti!$B$2*E$15+Coefficienti!$B$3*$A21)*Parametri!$B$1*(1-Parametri!$B$2)+((Coefficienti!$B$4+Coefficienti!$B$5*E$15+Coefficienti!$B$6*$A21)+Coefficienti!$B$7)*(1-Parametri!$B$3))*(1+Parametri!$B$4)+Ferramenta!$D$11+Coefficienti!$B$8*Parametri!$B$5,2)</f>
        <v/>
      </c>
      <c r="F21" s="4">
        <f>ROUND(((Coefficienti!$B$1+Coefficienti!$B$2*F$15+Coefficienti!$B$3*$A21)*Parametri!$B$1*(1-Parametri!$B$2)+((Coefficienti!$B$4+Coefficienti!$B$5*F$15+Coefficienti!$B$6*$A21)+Coefficienti!$B$7)*(1-Parametri!$B$3))*(1+Parametri!$B$4)+Ferramenta!$D$11+Coefficienti!$B$8*Parametri!$B$5,2)</f>
        <v/>
      </c>
      <c r="G21" s="4">
        <f>ROUND(((Coefficienti!$B$1+Coefficienti!$B$2*G$15+Coefficienti!$B$3*$A21)*Parametri!$B$1*(1-Parametri!$B$2)+((Coefficienti!$B$4+Coefficienti!$B$5*G$15+Coefficienti!$B$6*$A21)+Coefficienti!$B$7)*(1-Parametri!$B$3))*(1+Parametri!$B$4)+Ferramenta!$D$11+Coefficienti!$B$8*Parametri!$B$5,2)</f>
        <v/>
      </c>
      <c r="H21" s="4">
        <f>ROUND(((Coefficienti!$B$1+Coefficienti!$B$2*H$15+Coefficienti!$B$3*$A21)*Parametri!$B$1*(1-Parametri!$B$2)+((Coefficienti!$B$4+Coefficienti!$B$5*H$15+Coefficienti!$B$6*$A21)+Coefficienti!$B$7)*(1-Parametri!$B$3))*(1+Parametri!$B$4)+Ferramenta!$D$11+Coefficienti!$B$8*Parametri!$B$5,2)</f>
        <v/>
      </c>
      <c r="I21" s="4">
        <f>ROUND(((Coefficienti!$B$1+Coefficienti!$B$2*I$15+Coefficienti!$B$3*$A21)*Parametri!$B$1*(1-Parametri!$B$2)+((Coefficienti!$B$4+Coefficienti!$B$5*I$15+Coefficienti!$B$6*$A21)+Coefficienti!$B$7)*(1-Parametri!$B$3))*(1+Parametri!$B$4)+Ferramenta!$D$11+Coefficienti!$B$8*Parametri!$B$5,2)</f>
        <v/>
      </c>
    </row>
    <row r="22">
      <c r="A22" s="2" t="n">
        <v>2500</v>
      </c>
      <c r="B22" s="4">
        <f>ROUND(((Coefficienti!$B$1+Coefficienti!$B$2*B$15+Coefficienti!$B$3*$A22)*Parametri!$B$1*(1-Parametri!$B$2)+((Coefficienti!$B$4+Coefficienti!$B$5*B$15+Coefficienti!$B$6*$A22)+Coefficienti!$B$7)*(1-Parametri!$B$3))*(1+Parametri!$B$4)+Ferramenta!$D$11+Coefficienti!$B$8*Parametri!$B$5,2)</f>
        <v/>
      </c>
      <c r="C22" s="4">
        <f>ROUND(((Coefficienti!$B$1+Coefficienti!$B$2*C$15+Coefficienti!$B$3*$A22)*Parametri!$B$1*(1-Parametri!$B$2)+((Coefficienti!$B$4+Coefficienti!$B$5*C$15+Coefficienti!$B$6*$A22)+Coefficienti!$B$7)*(1-Parametri!$B$3))*(1+Parametri!$B$4)+Ferramenta!$D$11+Coefficienti!$B$8*Parametri!$B$5,2)</f>
        <v/>
      </c>
      <c r="D22" s="4">
        <f>ROUND(((Coefficienti!$B$1+Coefficienti!$B$2*D$15+Coefficienti!$B$3*$A22)*Parametri!$B$1*(1-Parametri!$B$2)+((Coefficienti!$B$4+Coefficienti!$B$5*D$15+Coefficienti!$B$6*$A22)+Coefficienti!$B$7)*(1-Parametri!$B$3))*(1+Parametri!$B$4)+Ferramenta!$D$11+Coefficienti!$B$8*Parametri!$B$5,2)</f>
        <v/>
      </c>
      <c r="E22" s="4">
        <f>ROUND(((Coefficienti!$B$1+Coefficienti!$B$2*E$15+Coefficienti!$B$3*$A22)*Parametri!$B$1*(1-Parametri!$B$2)+((Coefficienti!$B$4+Coefficienti!$B$5*E$15+Coefficienti!$B$6*$A22)+Coefficienti!$B$7)*(1-Parametri!$B$3))*(1+Parametri!$B$4)+Ferramenta!$D$11+Coefficienti!$B$8*Parametri!$B$5,2)</f>
        <v/>
      </c>
      <c r="F22" s="4">
        <f>ROUND(((Coefficienti!$B$1+Coefficienti!$B$2*F$15+Coefficienti!$B$3*$A22)*Parametri!$B$1*(1-Parametri!$B$2)+((Coefficienti!$B$4+Coefficienti!$B$5*F$15+Coefficienti!$B$6*$A22)+Coefficienti!$B$7)*(1-Parametri!$B$3))*(1+Parametri!$B$4)+Ferramenta!$D$11+Coefficienti!$B$8*Parametri!$B$5,2)</f>
        <v/>
      </c>
      <c r="G22" s="4">
        <f>ROUND(((Coefficienti!$B$1+Coefficienti!$B$2*G$15+Coefficienti!$B$3*$A22)*Parametri!$B$1*(1-Parametri!$B$2)+((Coefficienti!$B$4+Coefficienti!$B$5*G$15+Coefficienti!$B$6*$A22)+Coefficienti!$B$7)*(1-Parametri!$B$3))*(1+Parametri!$B$4)+Ferramenta!$D$11+Coefficienti!$B$8*Parametri!$B$5,2)</f>
        <v/>
      </c>
      <c r="H22" s="4">
        <f>ROUND(((Coefficienti!$B$1+Coefficienti!$B$2*H$15+Coefficienti!$B$3*$A22)*Parametri!$B$1*(1-Parametri!$B$2)+((Coefficienti!$B$4+Coefficienti!$B$5*H$15+Coefficienti!$B$6*$A22)+Coefficienti!$B$7)*(1-Parametri!$B$3))*(1+Parametri!$B$4)+Ferramenta!$D$11+Coefficienti!$B$8*Parametri!$B$5,2)</f>
        <v/>
      </c>
      <c r="I22" s="4">
        <f>ROUND(((Coefficienti!$B$1+Coefficienti!$B$2*I$15+Coefficienti!$B$3*$A22)*Parametri!$B$1*(1-Parametri!$B$2)+((Coefficienti!$B$4+Coefficienti!$B$5*I$15+Coefficienti!$B$6*$A22)+Coefficienti!$B$7)*(1-Parametri!$B$3))*(1+Parametri!$B$4)+Ferramenta!$D$11+Coefficienti!$B$8*Parametri!$B$5,2)</f>
        <v/>
      </c>
    </row>
    <row r="23">
      <c r="A23" s="2" t="n">
        <v>2600</v>
      </c>
      <c r="B23" s="4">
        <f>ROUND(((Coefficienti!$B$1+Coefficienti!$B$2*B$15+Coefficienti!$B$3*$A23)*Parametri!$B$1*(1-Parametri!$B$2)+((Coefficienti!$B$4+Coefficienti!$B$5*B$15+Coefficienti!$B$6*$A23)+Coefficienti!$B$7)*(1-Parametri!$B$3))*(1+Parametri!$B$4)+Ferramenta!$D$11+Coefficienti!$B$8*Parametri!$B$5,2)</f>
        <v/>
      </c>
      <c r="C23" s="4">
        <f>ROUND(((Coefficienti!$B$1+Coefficienti!$B$2*C$15+Coefficienti!$B$3*$A23)*Parametri!$B$1*(1-Parametri!$B$2)+((Coefficienti!$B$4+Coefficienti!$B$5*C$15+Coefficienti!$B$6*$A23)+Coefficienti!$B$7)*(1-Parametri!$B$3))*(1+Parametri!$B$4)+Ferramenta!$D$11+Coefficienti!$B$8*Parametri!$B$5,2)</f>
        <v/>
      </c>
      <c r="D23" s="4">
        <f>ROUND(((Coefficienti!$B$1+Coefficienti!$B$2*D$15+Coefficienti!$B$3*$A23)*Parametri!$B$1*(1-Parametri!$B$2)+((Coefficienti!$B$4+Coefficienti!$B$5*D$15+Coefficienti!$B$6*$A23)+Coefficienti!$B$7)*(1-Parametri!$B$3))*(1+Parametri!$B$4)+Ferramenta!$D$11+Coefficienti!$B$8*Parametri!$B$5,2)</f>
        <v/>
      </c>
      <c r="E23" s="4">
        <f>ROUND(((Coefficienti!$B$1+Coefficienti!$B$2*E$15+Coefficienti!$B$3*$A23)*Parametri!$B$1*(1-Parametri!$B$2)+((Coefficienti!$B$4+Coefficienti!$B$5*E$15+Coefficienti!$B$6*$A23)+Coefficienti!$B$7)*(1-Parametri!$B$3))*(1+Parametri!$B$4)+Ferramenta!$D$11+Coefficienti!$B$8*Parametri!$B$5,2)</f>
        <v/>
      </c>
      <c r="F23" s="4">
        <f>ROUND(((Coefficienti!$B$1+Coefficienti!$B$2*F$15+Coefficienti!$B$3*$A23)*Parametri!$B$1*(1-Parametri!$B$2)+((Coefficienti!$B$4+Coefficienti!$B$5*F$15+Coefficienti!$B$6*$A23)+Coefficienti!$B$7)*(1-Parametri!$B$3))*(1+Parametri!$B$4)+Ferramenta!$D$11+Coefficienti!$B$8*Parametri!$B$5,2)</f>
        <v/>
      </c>
      <c r="G23" s="4">
        <f>ROUND(((Coefficienti!$B$1+Coefficienti!$B$2*G$15+Coefficienti!$B$3*$A23)*Parametri!$B$1*(1-Parametri!$B$2)+((Coefficienti!$B$4+Coefficienti!$B$5*G$15+Coefficienti!$B$6*$A23)+Coefficienti!$B$7)*(1-Parametri!$B$3))*(1+Parametri!$B$4)+Ferramenta!$D$11+Coefficienti!$B$8*Parametri!$B$5,2)</f>
        <v/>
      </c>
      <c r="H23" s="4">
        <f>ROUND(((Coefficienti!$B$1+Coefficienti!$B$2*H$15+Coefficienti!$B$3*$A23)*Parametri!$B$1*(1-Parametri!$B$2)+((Coefficienti!$B$4+Coefficienti!$B$5*H$15+Coefficienti!$B$6*$A23)+Coefficienti!$B$7)*(1-Parametri!$B$3))*(1+Parametri!$B$4)+Ferramenta!$D$11+Coefficienti!$B$8*Parametri!$B$5,2)</f>
        <v/>
      </c>
      <c r="I23" s="4">
        <f>ROUND(((Coefficienti!$B$1+Coefficienti!$B$2*I$15+Coefficienti!$B$3*$A23)*Parametri!$B$1*(1-Parametri!$B$2)+((Coefficienti!$B$4+Coefficienti!$B$5*I$15+Coefficienti!$B$6*$A23)+Coefficienti!$B$7)*(1-Parametri!$B$3))*(1+Parametri!$B$4)+Ferramenta!$D$11+Coefficienti!$B$8*Parametri!$B$5,2)</f>
        <v/>
      </c>
    </row>
    <row r="24">
      <c r="A24" s="2" t="n">
        <v>2700</v>
      </c>
      <c r="B24" s="4">
        <f>ROUND(((Coefficienti!$B$1+Coefficienti!$B$2*B$15+Coefficienti!$B$3*$A24)*Parametri!$B$1*(1-Parametri!$B$2)+((Coefficienti!$B$4+Coefficienti!$B$5*B$15+Coefficienti!$B$6*$A24)+Coefficienti!$B$7)*(1-Parametri!$B$3))*(1+Parametri!$B$4)+Ferramenta!$D$11+Coefficienti!$B$8*Parametri!$B$5,2)</f>
        <v/>
      </c>
      <c r="C24" s="4">
        <f>ROUND(((Coefficienti!$B$1+Coefficienti!$B$2*C$15+Coefficienti!$B$3*$A24)*Parametri!$B$1*(1-Parametri!$B$2)+((Coefficienti!$B$4+Coefficienti!$B$5*C$15+Coefficienti!$B$6*$A24)+Coefficienti!$B$7)*(1-Parametri!$B$3))*(1+Parametri!$B$4)+Ferramenta!$D$11+Coefficienti!$B$8*Parametri!$B$5,2)</f>
        <v/>
      </c>
      <c r="D24" s="4">
        <f>ROUND(((Coefficienti!$B$1+Coefficienti!$B$2*D$15+Coefficienti!$B$3*$A24)*Parametri!$B$1*(1-Parametri!$B$2)+((Coefficienti!$B$4+Coefficienti!$B$5*D$15+Coefficienti!$B$6*$A24)+Coefficienti!$B$7)*(1-Parametri!$B$3))*(1+Parametri!$B$4)+Ferramenta!$D$11+Coefficienti!$B$8*Parametri!$B$5,2)</f>
        <v/>
      </c>
      <c r="E24" s="4">
        <f>ROUND(((Coefficienti!$B$1+Coefficienti!$B$2*E$15+Coefficienti!$B$3*$A24)*Parametri!$B$1*(1-Parametri!$B$2)+((Coefficienti!$B$4+Coefficienti!$B$5*E$15+Coefficienti!$B$6*$A24)+Coefficienti!$B$7)*(1-Parametri!$B$3))*(1+Parametri!$B$4)+Ferramenta!$D$11+Coefficienti!$B$8*Parametri!$B$5,2)</f>
        <v/>
      </c>
      <c r="F24" s="4">
        <f>ROUND(((Coefficienti!$B$1+Coefficienti!$B$2*F$15+Coefficienti!$B$3*$A24)*Parametri!$B$1*(1-Parametri!$B$2)+((Coefficienti!$B$4+Coefficienti!$B$5*F$15+Coefficienti!$B$6*$A24)+Coefficienti!$B$7)*(1-Parametri!$B$3))*(1+Parametri!$B$4)+Ferramenta!$D$11+Coefficienti!$B$8*Parametri!$B$5,2)</f>
        <v/>
      </c>
      <c r="G24" s="4">
        <f>ROUND(((Coefficienti!$B$1+Coefficienti!$B$2*G$15+Coefficienti!$B$3*$A24)*Parametri!$B$1*(1-Parametri!$B$2)+((Coefficienti!$B$4+Coefficienti!$B$5*G$15+Coefficienti!$B$6*$A24)+Coefficienti!$B$7)*(1-Parametri!$B$3))*(1+Parametri!$B$4)+Ferramenta!$D$11+Coefficienti!$B$8*Parametri!$B$5,2)</f>
        <v/>
      </c>
      <c r="H24" s="4">
        <f>ROUND(((Coefficienti!$B$1+Coefficienti!$B$2*H$15+Coefficienti!$B$3*$A24)*Parametri!$B$1*(1-Parametri!$B$2)+((Coefficienti!$B$4+Coefficienti!$B$5*H$15+Coefficienti!$B$6*$A24)+Coefficienti!$B$7)*(1-Parametri!$B$3))*(1+Parametri!$B$4)+Ferramenta!$D$11+Coefficienti!$B$8*Parametri!$B$5,2)</f>
        <v/>
      </c>
      <c r="I24" s="4">
        <f>ROUND(((Coefficienti!$B$1+Coefficienti!$B$2*I$15+Coefficienti!$B$3*$A24)*Parametri!$B$1*(1-Parametri!$B$2)+((Coefficienti!$B$4+Coefficienti!$B$5*I$15+Coefficienti!$B$6*$A24)+Coefficienti!$B$7)*(1-Parametri!$B$3))*(1+Parametri!$B$4)+Ferramenta!$D$11+Coefficienti!$B$8*Parametri!$B$5,2)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5" t="inlineStr">
        <is>
          <t>Prezzo profili €/kg (10820 CAT.B +ADD — RAL 7016)</t>
        </is>
      </c>
      <c r="B1" s="6" t="n">
        <v>14.82</v>
      </c>
    </row>
    <row r="2">
      <c r="A2" s="5" t="inlineStr">
        <is>
          <t>Sconto profili su listino AluK</t>
        </is>
      </c>
      <c r="B2" s="7" t="n">
        <v>0.43</v>
      </c>
    </row>
    <row r="3">
      <c r="A3" s="5" t="inlineStr">
        <is>
          <t>Sconto accessori/guarnizioni su listino AluK</t>
        </is>
      </c>
      <c r="B3" s="7" t="n">
        <v>0.2</v>
      </c>
    </row>
    <row r="4">
      <c r="A4" s="5" t="inlineStr">
        <is>
          <t>Sfrido</t>
        </is>
      </c>
      <c r="B4" s="7" t="n">
        <v>0.09</v>
      </c>
    </row>
    <row r="5">
      <c r="A5" s="5" t="inlineStr">
        <is>
          <t>Tariffa oraria manodopera €/h</t>
        </is>
      </c>
      <c r="B5" s="6" t="n">
        <v>65</v>
      </c>
    </row>
    <row r="6">
      <c r="A6" s="5" t="inlineStr">
        <is>
          <t>Ricarico su costo totale</t>
        </is>
      </c>
      <c r="B6" s="7" t="n">
        <v>2.13</v>
      </c>
    </row>
    <row r="8">
      <c r="A8" s="5" t="inlineStr">
        <is>
          <t>Celle gialle = valori modificabili: tutte le griglie si ricalcolano.</t>
        </is>
      </c>
    </row>
    <row r="9">
      <c r="A9" s="5" t="inlineStr">
        <is>
          <t>Listino AluK decorrenza 15-06-2026.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alluminio costante (kg)</t>
        </is>
      </c>
      <c r="B1" s="5" t="n">
        <v>-0.51858</v>
      </c>
    </row>
    <row r="2">
      <c r="A2" s="5" t="inlineStr">
        <is>
          <t>Peso per mm di L (kg/mm)</t>
        </is>
      </c>
      <c r="B2" s="5" t="n">
        <v>0.00655</v>
      </c>
    </row>
    <row r="3">
      <c r="A3" s="5" t="inlineStr">
        <is>
          <t>Peso per mm di H (kg/mm)</t>
        </is>
      </c>
      <c r="B3" s="5" t="n">
        <v>0.00672</v>
      </c>
    </row>
    <row r="4">
      <c r="A4" s="5" t="inlineStr">
        <is>
          <t>Guarnizioni costante (€ listino)</t>
        </is>
      </c>
      <c r="B4" s="5" t="n">
        <v>0.009812</v>
      </c>
    </row>
    <row r="5">
      <c r="A5" s="5" t="inlineStr">
        <is>
          <t>Guarnizioni per mm di L (€/mm)</t>
        </is>
      </c>
      <c r="B5" s="5" t="n">
        <v>0.003944</v>
      </c>
    </row>
    <row r="6">
      <c r="A6" s="5" t="inlineStr">
        <is>
          <t>Guarnizioni per mm di H (€/mm)</t>
        </is>
      </c>
      <c r="B6" s="5" t="n">
        <v>0.002453</v>
      </c>
    </row>
    <row r="7">
      <c r="A7" s="5" t="inlineStr">
        <is>
          <t>Accessori totale (€ listino)</t>
        </is>
      </c>
      <c r="B7" s="5" t="n">
        <v>29.52</v>
      </c>
    </row>
    <row r="8">
      <c r="A8" s="5" t="inlineStr">
        <is>
          <t>Ore manodopera</t>
        </is>
      </c>
      <c r="B8" s="5" t="n">
        <v>2.66666667</v>
      </c>
    </row>
    <row r="10">
      <c r="A10" s="5" t="inlineStr">
        <is>
          <t>Derivati dalle distinte catalogo AluK C75S sez. 8 e pesi kg/m catalogo v3.</t>
        </is>
      </c>
    </row>
    <row r="11">
      <c r="A11" s="5" t="inlineStr">
        <is>
          <t>Assunzioni: supporti vetro V62008 = 4 per vetro; mascherine V51015 = 2 pz;</t>
        </is>
      </c>
    </row>
    <row r="12">
      <c r="A12" s="5" t="inlineStr">
        <is>
          <t>fermavetro battenti N45860 (0,37 kg/m), fisso coppia N45856 (0,62 kg/m);</t>
        </is>
      </c>
    </row>
    <row r="13">
      <c r="A13" s="5" t="inlineStr">
        <is>
          <t>squadrette V40022/V40037 prezzate come V40022 (0,607 €).</t>
        </is>
      </c>
    </row>
    <row r="14">
      <c r="A14" s="5" t="inlineStr">
        <is>
          <t>Manodopera: 1h telaio + 1h/anta + 20' ferramenta/anta + 20'/vetro.</t>
        </is>
      </c>
    </row>
    <row r="15">
      <c r="A15" s="5" t="inlineStr">
        <is>
          <t>Prezzi unitari accessori e guarnizioni dal listino AluK 15-06-2026 (pre-sconto).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2026-09-08T19:21:35Z</dcterms:created>
  <dcterms:modified xsi:type="dcterms:W3CDTF">2026-09-08T19:21:35Z</dcterms:modified>
</cp:coreProperties>
</file>