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zzo" sheetId="1" state="visible" r:id="rId3"/>
    <sheet name="Parametri" sheetId="2" state="visible" r:id="rId4"/>
    <sheet name="Coefficienti" sheetId="3" state="visible" r:id="rId5"/>
    <sheet name="Ferramen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<sst xmlns="http://schemas.openxmlformats.org/spreadsheetml/2006/main" count="41" uniqueCount="40">
  <si>
    <t xml:space="preserve">LISTINO — PORTAFINESTRA 1 ANTA (PB175) — C75S SENZA VETRO — RAL 7016 (costo +213%)</t>
  </si>
  <si>
    <t xml:space="preserve">H/L</t>
  </si>
  <si>
    <t xml:space="preserve">COSTO SERRAMENTO (materiale scontato + sfrido + manodopera)</t>
  </si>
  <si>
    <t xml:space="preserve">Prezzo profili €/kg (10820 CAT.B +ADD — RAL 7016)</t>
  </si>
  <si>
    <t xml:space="preserve">Sconto profili su listino AluK</t>
  </si>
  <si>
    <t xml:space="preserve">Sconto accessori/guarnizioni su listino AluK</t>
  </si>
  <si>
    <t xml:space="preserve">Sfrido</t>
  </si>
  <si>
    <t xml:space="preserve">Tariffa oraria manodopera €/h</t>
  </si>
  <si>
    <t xml:space="preserve">Ricarico su costo totale</t>
  </si>
  <si>
    <t xml:space="preserve">Celle gialle = valori modificabili: tutte le griglie si ricalcolano.</t>
  </si>
  <si>
    <t xml:space="preserve">Listino AluK decorrenza 15-06-2026. Ferramenta: prezzi nel foglio dedicato.</t>
  </si>
  <si>
    <t xml:space="preserve">Peso alluminio costante (kg)</t>
  </si>
  <si>
    <t xml:space="preserve">Peso per mm di L (kg/mm)</t>
  </si>
  <si>
    <t xml:space="preserve">Peso per mm di H (kg/mm)</t>
  </si>
  <si>
    <t xml:space="preserve">Guarnizioni costante (€ listino)</t>
  </si>
  <si>
    <t xml:space="preserve">Guarnizioni per mm di L (€/mm)</t>
  </si>
  <si>
    <t xml:space="preserve">Guarnizioni per mm di H (€/mm)</t>
  </si>
  <si>
    <t xml:space="preserve">Accessori totale (€ listino)</t>
  </si>
  <si>
    <t xml:space="preserve">Ore manodopera</t>
  </si>
  <si>
    <t xml:space="preserve">Derivati dalle distinte catalogo AluK C75S sez. 8 e pesi kg/m catalogo v3.</t>
  </si>
  <si>
    <t xml:space="preserve">Assunzioni: supporti vetro V62008 = 4 per vetro; mascherine V51015 = 2 pz;</t>
  </si>
  <si>
    <t xml:space="preserve">fermavetro battenti N45860 (0,37 kg/m), fisso coppia N45856 (0,62 kg/m);</t>
  </si>
  <si>
    <t xml:space="preserve">squadrette V40022/V40037 prezzate come V40022 (0,607 €).</t>
  </si>
  <si>
    <t xml:space="preserve">Manodopera: 1h telaio + 1h/anta + 20' ferramenta/anta + 20'/vetro.</t>
  </si>
  <si>
    <t xml:space="preserve">Prezzi unitari accessori e guarnizioni dal listino AluK 15-06-2026 (pre-sconto).</t>
  </si>
  <si>
    <t xml:space="preserve">Componente</t>
  </si>
  <si>
    <t xml:space="preserve">Q.tà</t>
  </si>
  <si>
    <t xml:space="preserve">Prezzo €/pz</t>
  </si>
  <si>
    <t xml:space="preserve">Subtotale €</t>
  </si>
  <si>
    <t xml:space="preserve">Martellina DK 1033</t>
  </si>
  <si>
    <t xml:space="preserve">Cremonese Multi Matic GR1590 (201745)</t>
  </si>
  <si>
    <t xml:space="preserve">Chiusura centrale MM (201752)</t>
  </si>
  <si>
    <t xml:space="preserve">Movimento angolare MM (222201)</t>
  </si>
  <si>
    <t xml:space="preserve">Movimento angolare prolungabile (222209)</t>
  </si>
  <si>
    <t xml:space="preserve">Scontro fungo scost.9 (356361)</t>
  </si>
  <si>
    <t xml:space="preserve">Scontro nottolino (355866) — NON a listino</t>
  </si>
  <si>
    <t xml:space="preserve">Cerniere a vista (set anta) — DA INSERIRE</t>
  </si>
  <si>
    <t xml:space="preserve">Forbice a vista + braccio — DA INSERIRE</t>
  </si>
  <si>
    <t xml:space="preserve">TOTALE FERRAMENTA</t>
  </si>
  <si>
    <t xml:space="preserve">Celle gialle modificabili. Prezzi a 0 = da inserire: il listino li ignora finché vuoti.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</si>
</sst>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9" min="2" style="0" width="9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 customFormat="false" ht="15" hidden="false" customHeight="false" outlineLevel="0" collapsed="false">
      <c r="A3" s="2" t="n">
        <v>1900</v>
      </c>
      <c r="B3" s="4" t="n">
        <f aca="false">ROUND(ROUND(((Coefficienti!$B$1+Coefficienti!$B$2*B$2+Coefficienti!$B$3*$A3)*Parametri!$B$1*(1-Parametri!$B$2)+((Coefficienti!$B$4+Coefficienti!$B$5*B$2+Coefficienti!$B$6*$A3)+Coefficienti!$B$7)*(1-Parametri!$B$3))*(1+Parametri!$B$4)+Ferramenta!$D$11+Coefficienti!$B$8*Parametri!$B$5,2)*(1+Parametri!$B$6),2)</f>
        <v>1130.37</v>
      </c>
      <c r="C3" s="4" t="n">
        <f aca="false">ROUND(ROUND(((Coefficienti!$B$1+Coefficienti!$B$2*C$2+Coefficienti!$B$3*$A3)*Parametri!$B$1*(1-Parametri!$B$2)+((Coefficienti!$B$4+Coefficienti!$B$5*C$2+Coefficienti!$B$6*$A3)+Coefficienti!$B$7)*(1-Parametri!$B$3))*(1+Parametri!$B$4)+Ferramenta!$D$11+Coefficienti!$B$8*Parametri!$B$5,2)*(1+Parametri!$B$6),2)</f>
        <v>1150.31</v>
      </c>
      <c r="D3" s="4" t="n">
        <f aca="false">ROUND(ROUND(((Coefficienti!$B$1+Coefficienti!$B$2*D$2+Coefficienti!$B$3*$A3)*Parametri!$B$1*(1-Parametri!$B$2)+((Coefficienti!$B$4+Coefficienti!$B$5*D$2+Coefficienti!$B$6*$A3)+Coefficienti!$B$7)*(1-Parametri!$B$3))*(1+Parametri!$B$4)+Ferramenta!$D$11+Coefficienti!$B$8*Parametri!$B$5,2)*(1+Parametri!$B$6),2)</f>
        <v>1170.28</v>
      </c>
      <c r="E3" s="4" t="n">
        <f aca="false">ROUND(ROUND(((Coefficienti!$B$1+Coefficienti!$B$2*E$2+Coefficienti!$B$3*$A3)*Parametri!$B$1*(1-Parametri!$B$2)+((Coefficienti!$B$4+Coefficienti!$B$5*E$2+Coefficienti!$B$6*$A3)+Coefficienti!$B$7)*(1-Parametri!$B$3))*(1+Parametri!$B$4)+Ferramenta!$D$11+Coefficienti!$B$8*Parametri!$B$5,2)*(1+Parametri!$B$6),2)</f>
        <v>1190.21</v>
      </c>
      <c r="F3" s="4" t="n">
        <f aca="false">ROUND(ROUND(((Coefficienti!$B$1+Coefficienti!$B$2*F$2+Coefficienti!$B$3*$A3)*Parametri!$B$1*(1-Parametri!$B$2)+((Coefficienti!$B$4+Coefficienti!$B$5*F$2+Coefficienti!$B$6*$A3)+Coefficienti!$B$7)*(1-Parametri!$B$3))*(1+Parametri!$B$4)+Ferramenta!$D$11+Coefficienti!$B$8*Parametri!$B$5,2)*(1+Parametri!$B$6),2)</f>
        <v>1210.18</v>
      </c>
      <c r="G3" s="4" t="n">
        <f aca="false">ROUND(ROUND(((Coefficienti!$B$1+Coefficienti!$B$2*G$2+Coefficienti!$B$3*$A3)*Parametri!$B$1*(1-Parametri!$B$2)+((Coefficienti!$B$4+Coefficienti!$B$5*G$2+Coefficienti!$B$6*$A3)+Coefficienti!$B$7)*(1-Parametri!$B$3))*(1+Parametri!$B$4)+Ferramenta!$D$11+Coefficienti!$B$8*Parametri!$B$5,2)*(1+Parametri!$B$6),2)</f>
        <v>1230.12</v>
      </c>
      <c r="H3" s="4" t="n">
        <f aca="false">ROUND(ROUND(((Coefficienti!$B$1+Coefficienti!$B$2*H$2+Coefficienti!$B$3*$A3)*Parametri!$B$1*(1-Parametri!$B$2)+((Coefficienti!$B$4+Coefficienti!$B$5*H$2+Coefficienti!$B$6*$A3)+Coefficienti!$B$7)*(1-Parametri!$B$3))*(1+Parametri!$B$4)+Ferramenta!$D$11+Coefficienti!$B$8*Parametri!$B$5,2)*(1+Parametri!$B$6),2)</f>
        <v>1250.09</v>
      </c>
      <c r="I3" s="4" t="n">
        <f aca="false">ROUND(ROUND(((Coefficienti!$B$1+Coefficienti!$B$2*I$2+Coefficienti!$B$3*$A3)*Parametri!$B$1*(1-Parametri!$B$2)+((Coefficienti!$B$4+Coefficienti!$B$5*I$2+Coefficienti!$B$6*$A3)+Coefficienti!$B$7)*(1-Parametri!$B$3))*(1+Parametri!$B$4)+Ferramenta!$D$11+Coefficienti!$B$8*Parametri!$B$5,2)*(1+Parametri!$B$6),2)</f>
        <v>1270.03</v>
      </c>
    </row>
    <row r="4" customFormat="false" ht="15" hidden="false" customHeight="false" outlineLevel="0" collapsed="false">
      <c r="A4" s="2" t="n">
        <v>2000</v>
      </c>
      <c r="B4" s="4" t="n">
        <f aca="false">ROUND(ROUND(((Coefficienti!$B$1+Coefficienti!$B$2*B$2+Coefficienti!$B$3*$A4)*Parametri!$B$1*(1-Parametri!$B$2)+((Coefficienti!$B$4+Coefficienti!$B$5*B$2+Coefficienti!$B$6*$A4)+Coefficienti!$B$7)*(1-Parametri!$B$3))*(1+Parametri!$B$4)+Ferramenta!$D$11+Coefficienti!$B$8*Parametri!$B$5,2)*(1+Parametri!$B$6),2)</f>
        <v>1150.4</v>
      </c>
      <c r="C4" s="4" t="n">
        <f aca="false">ROUND(ROUND(((Coefficienti!$B$1+Coefficienti!$B$2*C$2+Coefficienti!$B$3*$A4)*Parametri!$B$1*(1-Parametri!$B$2)+((Coefficienti!$B$4+Coefficienti!$B$5*C$2+Coefficienti!$B$6*$A4)+Coefficienti!$B$7)*(1-Parametri!$B$3))*(1+Parametri!$B$4)+Ferramenta!$D$11+Coefficienti!$B$8*Parametri!$B$5,2)*(1+Parametri!$B$6),2)</f>
        <v>1170.34</v>
      </c>
      <c r="D4" s="4" t="n">
        <f aca="false">ROUND(ROUND(((Coefficienti!$B$1+Coefficienti!$B$2*D$2+Coefficienti!$B$3*$A4)*Parametri!$B$1*(1-Parametri!$B$2)+((Coefficienti!$B$4+Coefficienti!$B$5*D$2+Coefficienti!$B$6*$A4)+Coefficienti!$B$7)*(1-Parametri!$B$3))*(1+Parametri!$B$4)+Ferramenta!$D$11+Coefficienti!$B$8*Parametri!$B$5,2)*(1+Parametri!$B$6),2)</f>
        <v>1190.31</v>
      </c>
      <c r="E4" s="4" t="n">
        <f aca="false">ROUND(ROUND(((Coefficienti!$B$1+Coefficienti!$B$2*E$2+Coefficienti!$B$3*$A4)*Parametri!$B$1*(1-Parametri!$B$2)+((Coefficienti!$B$4+Coefficienti!$B$5*E$2+Coefficienti!$B$6*$A4)+Coefficienti!$B$7)*(1-Parametri!$B$3))*(1+Parametri!$B$4)+Ferramenta!$D$11+Coefficienti!$B$8*Parametri!$B$5,2)*(1+Parametri!$B$6),2)</f>
        <v>1210.25</v>
      </c>
      <c r="F4" s="4" t="n">
        <f aca="false">ROUND(ROUND(((Coefficienti!$B$1+Coefficienti!$B$2*F$2+Coefficienti!$B$3*$A4)*Parametri!$B$1*(1-Parametri!$B$2)+((Coefficienti!$B$4+Coefficienti!$B$5*F$2+Coefficienti!$B$6*$A4)+Coefficienti!$B$7)*(1-Parametri!$B$3))*(1+Parametri!$B$4)+Ferramenta!$D$11+Coefficienti!$B$8*Parametri!$B$5,2)*(1+Parametri!$B$6),2)</f>
        <v>1230.22</v>
      </c>
      <c r="G4" s="4" t="n">
        <f aca="false">ROUND(ROUND(((Coefficienti!$B$1+Coefficienti!$B$2*G$2+Coefficienti!$B$3*$A4)*Parametri!$B$1*(1-Parametri!$B$2)+((Coefficienti!$B$4+Coefficienti!$B$5*G$2+Coefficienti!$B$6*$A4)+Coefficienti!$B$7)*(1-Parametri!$B$3))*(1+Parametri!$B$4)+Ferramenta!$D$11+Coefficienti!$B$8*Parametri!$B$5,2)*(1+Parametri!$B$6),2)</f>
        <v>1250.15</v>
      </c>
      <c r="H4" s="4" t="n">
        <f aca="false">ROUND(ROUND(((Coefficienti!$B$1+Coefficienti!$B$2*H$2+Coefficienti!$B$3*$A4)*Parametri!$B$1*(1-Parametri!$B$2)+((Coefficienti!$B$4+Coefficienti!$B$5*H$2+Coefficienti!$B$6*$A4)+Coefficienti!$B$7)*(1-Parametri!$B$3))*(1+Parametri!$B$4)+Ferramenta!$D$11+Coefficienti!$B$8*Parametri!$B$5,2)*(1+Parametri!$B$6),2)</f>
        <v>1270.12</v>
      </c>
      <c r="I4" s="4" t="n">
        <f aca="false">ROUND(ROUND(((Coefficienti!$B$1+Coefficienti!$B$2*I$2+Coefficienti!$B$3*$A4)*Parametri!$B$1*(1-Parametri!$B$2)+((Coefficienti!$B$4+Coefficienti!$B$5*I$2+Coefficienti!$B$6*$A4)+Coefficienti!$B$7)*(1-Parametri!$B$3))*(1+Parametri!$B$4)+Ferramenta!$D$11+Coefficienti!$B$8*Parametri!$B$5,2)*(1+Parametri!$B$6),2)</f>
        <v>1290.06</v>
      </c>
    </row>
    <row r="5" customFormat="false" ht="15" hidden="false" customHeight="false" outlineLevel="0" collapsed="false">
      <c r="A5" s="2" t="n">
        <v>2100</v>
      </c>
      <c r="B5" s="4" t="n">
        <f aca="false">ROUND(ROUND(((Coefficienti!$B$1+Coefficienti!$B$2*B$2+Coefficienti!$B$3*$A5)*Parametri!$B$1*(1-Parametri!$B$2)+((Coefficienti!$B$4+Coefficienti!$B$5*B$2+Coefficienti!$B$6*$A5)+Coefficienti!$B$7)*(1-Parametri!$B$3))*(1+Parametri!$B$4)+Ferramenta!$D$11+Coefficienti!$B$8*Parametri!$B$5,2)*(1+Parametri!$B$6),2)</f>
        <v>1170.43</v>
      </c>
      <c r="C5" s="4" t="n">
        <f aca="false">ROUND(ROUND(((Coefficienti!$B$1+Coefficienti!$B$2*C$2+Coefficienti!$B$3*$A5)*Parametri!$B$1*(1-Parametri!$B$2)+((Coefficienti!$B$4+Coefficienti!$B$5*C$2+Coefficienti!$B$6*$A5)+Coefficienti!$B$7)*(1-Parametri!$B$3))*(1+Parametri!$B$4)+Ferramenta!$D$11+Coefficienti!$B$8*Parametri!$B$5,2)*(1+Parametri!$B$6),2)</f>
        <v>1190.37</v>
      </c>
      <c r="D5" s="4" t="n">
        <f aca="false">ROUND(ROUND(((Coefficienti!$B$1+Coefficienti!$B$2*D$2+Coefficienti!$B$3*$A5)*Parametri!$B$1*(1-Parametri!$B$2)+((Coefficienti!$B$4+Coefficienti!$B$5*D$2+Coefficienti!$B$6*$A5)+Coefficienti!$B$7)*(1-Parametri!$B$3))*(1+Parametri!$B$4)+Ferramenta!$D$11+Coefficienti!$B$8*Parametri!$B$5,2)*(1+Parametri!$B$6),2)</f>
        <v>1210.34</v>
      </c>
      <c r="E5" s="4" t="n">
        <f aca="false">ROUND(ROUND(((Coefficienti!$B$1+Coefficienti!$B$2*E$2+Coefficienti!$B$3*$A5)*Parametri!$B$1*(1-Parametri!$B$2)+((Coefficienti!$B$4+Coefficienti!$B$5*E$2+Coefficienti!$B$6*$A5)+Coefficienti!$B$7)*(1-Parametri!$B$3))*(1+Parametri!$B$4)+Ferramenta!$D$11+Coefficienti!$B$8*Parametri!$B$5,2)*(1+Parametri!$B$6),2)</f>
        <v>1230.28</v>
      </c>
      <c r="F5" s="4" t="n">
        <f aca="false">ROUND(ROUND(((Coefficienti!$B$1+Coefficienti!$B$2*F$2+Coefficienti!$B$3*$A5)*Parametri!$B$1*(1-Parametri!$B$2)+((Coefficienti!$B$4+Coefficienti!$B$5*F$2+Coefficienti!$B$6*$A5)+Coefficienti!$B$7)*(1-Parametri!$B$3))*(1+Parametri!$B$4)+Ferramenta!$D$11+Coefficienti!$B$8*Parametri!$B$5,2)*(1+Parametri!$B$6),2)</f>
        <v>1250.25</v>
      </c>
      <c r="G5" s="4" t="n">
        <f aca="false">ROUND(ROUND(((Coefficienti!$B$1+Coefficienti!$B$2*G$2+Coefficienti!$B$3*$A5)*Parametri!$B$1*(1-Parametri!$B$2)+((Coefficienti!$B$4+Coefficienti!$B$5*G$2+Coefficienti!$B$6*$A5)+Coefficienti!$B$7)*(1-Parametri!$B$3))*(1+Parametri!$B$4)+Ferramenta!$D$11+Coefficienti!$B$8*Parametri!$B$5,2)*(1+Parametri!$B$6),2)</f>
        <v>1270.19</v>
      </c>
      <c r="H5" s="4" t="n">
        <f aca="false">ROUND(ROUND(((Coefficienti!$B$1+Coefficienti!$B$2*H$2+Coefficienti!$B$3*$A5)*Parametri!$B$1*(1-Parametri!$B$2)+((Coefficienti!$B$4+Coefficienti!$B$5*H$2+Coefficienti!$B$6*$A5)+Coefficienti!$B$7)*(1-Parametri!$B$3))*(1+Parametri!$B$4)+Ferramenta!$D$11+Coefficienti!$B$8*Parametri!$B$5,2)*(1+Parametri!$B$6),2)</f>
        <v>1290.15</v>
      </c>
      <c r="I5" s="4" t="n">
        <f aca="false">ROUND(ROUND(((Coefficienti!$B$1+Coefficienti!$B$2*I$2+Coefficienti!$B$3*$A5)*Parametri!$B$1*(1-Parametri!$B$2)+((Coefficienti!$B$4+Coefficienti!$B$5*I$2+Coefficienti!$B$6*$A5)+Coefficienti!$B$7)*(1-Parametri!$B$3))*(1+Parametri!$B$4)+Ferramenta!$D$11+Coefficienti!$B$8*Parametri!$B$5,2)*(1+Parametri!$B$6),2)</f>
        <v>1310.09</v>
      </c>
    </row>
    <row r="6" customFormat="false" ht="15" hidden="false" customHeight="false" outlineLevel="0" collapsed="false">
      <c r="A6" s="2" t="n">
        <v>2200</v>
      </c>
      <c r="B6" s="4" t="n">
        <f aca="false">ROUND(ROUND(((Coefficienti!$B$1+Coefficienti!$B$2*B$2+Coefficienti!$B$3*$A6)*Parametri!$B$1*(1-Parametri!$B$2)+((Coefficienti!$B$4+Coefficienti!$B$5*B$2+Coefficienti!$B$6*$A6)+Coefficienti!$B$7)*(1-Parametri!$B$3))*(1+Parametri!$B$4)+Ferramenta!$D$11+Coefficienti!$B$8*Parametri!$B$5,2)*(1+Parametri!$B$6),2)</f>
        <v>1190.46</v>
      </c>
      <c r="C6" s="4" t="n">
        <f aca="false">ROUND(ROUND(((Coefficienti!$B$1+Coefficienti!$B$2*C$2+Coefficienti!$B$3*$A6)*Parametri!$B$1*(1-Parametri!$B$2)+((Coefficienti!$B$4+Coefficienti!$B$5*C$2+Coefficienti!$B$6*$A6)+Coefficienti!$B$7)*(1-Parametri!$B$3))*(1+Parametri!$B$4)+Ferramenta!$D$11+Coefficienti!$B$8*Parametri!$B$5,2)*(1+Parametri!$B$6),2)</f>
        <v>1210.43</v>
      </c>
      <c r="D6" s="4" t="n">
        <f aca="false">ROUND(ROUND(((Coefficienti!$B$1+Coefficienti!$B$2*D$2+Coefficienti!$B$3*$A6)*Parametri!$B$1*(1-Parametri!$B$2)+((Coefficienti!$B$4+Coefficienti!$B$5*D$2+Coefficienti!$B$6*$A6)+Coefficienti!$B$7)*(1-Parametri!$B$3))*(1+Parametri!$B$4)+Ferramenta!$D$11+Coefficienti!$B$8*Parametri!$B$5,2)*(1+Parametri!$B$6),2)</f>
        <v>1230.37</v>
      </c>
      <c r="E6" s="4" t="n">
        <f aca="false">ROUND(ROUND(((Coefficienti!$B$1+Coefficienti!$B$2*E$2+Coefficienti!$B$3*$A6)*Parametri!$B$1*(1-Parametri!$B$2)+((Coefficienti!$B$4+Coefficienti!$B$5*E$2+Coefficienti!$B$6*$A6)+Coefficienti!$B$7)*(1-Parametri!$B$3))*(1+Parametri!$B$4)+Ferramenta!$D$11+Coefficienti!$B$8*Parametri!$B$5,2)*(1+Parametri!$B$6),2)</f>
        <v>1250.34</v>
      </c>
      <c r="F6" s="4" t="n">
        <f aca="false">ROUND(ROUND(((Coefficienti!$B$1+Coefficienti!$B$2*F$2+Coefficienti!$B$3*$A6)*Parametri!$B$1*(1-Parametri!$B$2)+((Coefficienti!$B$4+Coefficienti!$B$5*F$2+Coefficienti!$B$6*$A6)+Coefficienti!$B$7)*(1-Parametri!$B$3))*(1+Parametri!$B$4)+Ferramenta!$D$11+Coefficienti!$B$8*Parametri!$B$5,2)*(1+Parametri!$B$6),2)</f>
        <v>1270.28</v>
      </c>
      <c r="G6" s="4" t="n">
        <f aca="false">ROUND(ROUND(((Coefficienti!$B$1+Coefficienti!$B$2*G$2+Coefficienti!$B$3*$A6)*Parametri!$B$1*(1-Parametri!$B$2)+((Coefficienti!$B$4+Coefficienti!$B$5*G$2+Coefficienti!$B$6*$A6)+Coefficienti!$B$7)*(1-Parametri!$B$3))*(1+Parametri!$B$4)+Ferramenta!$D$11+Coefficienti!$B$8*Parametri!$B$5,2)*(1+Parametri!$B$6),2)</f>
        <v>1290.25</v>
      </c>
      <c r="H6" s="4" t="n">
        <f aca="false">ROUND(ROUND(((Coefficienti!$B$1+Coefficienti!$B$2*H$2+Coefficienti!$B$3*$A6)*Parametri!$B$1*(1-Parametri!$B$2)+((Coefficienti!$B$4+Coefficienti!$B$5*H$2+Coefficienti!$B$6*$A6)+Coefficienti!$B$7)*(1-Parametri!$B$3))*(1+Parametri!$B$4)+Ferramenta!$D$11+Coefficienti!$B$8*Parametri!$B$5,2)*(1+Parametri!$B$6),2)</f>
        <v>1310.19</v>
      </c>
      <c r="I6" s="4" t="n">
        <f aca="false">ROUND(ROUND(((Coefficienti!$B$1+Coefficienti!$B$2*I$2+Coefficienti!$B$3*$A6)*Parametri!$B$1*(1-Parametri!$B$2)+((Coefficienti!$B$4+Coefficienti!$B$5*I$2+Coefficienti!$B$6*$A6)+Coefficienti!$B$7)*(1-Parametri!$B$3))*(1+Parametri!$B$4)+Ferramenta!$D$11+Coefficienti!$B$8*Parametri!$B$5,2)*(1+Parametri!$B$6),2)</f>
        <v>1330.16</v>
      </c>
    </row>
    <row r="7" customFormat="false" ht="15" hidden="false" customHeight="false" outlineLevel="0" collapsed="false">
      <c r="A7" s="2" t="n">
        <v>2300</v>
      </c>
      <c r="B7" s="4" t="n">
        <f aca="false">ROUND(ROUND(((Coefficienti!$B$1+Coefficienti!$B$2*B$2+Coefficienti!$B$3*$A7)*Parametri!$B$1*(1-Parametri!$B$2)+((Coefficienti!$B$4+Coefficienti!$B$5*B$2+Coefficienti!$B$6*$A7)+Coefficienti!$B$7)*(1-Parametri!$B$3))*(1+Parametri!$B$4)+Ferramenta!$D$11+Coefficienti!$B$8*Parametri!$B$5,2)*(1+Parametri!$B$6),2)</f>
        <v>1210.5</v>
      </c>
      <c r="C7" s="4" t="n">
        <f aca="false">ROUND(ROUND(((Coefficienti!$B$1+Coefficienti!$B$2*C$2+Coefficienti!$B$3*$A7)*Parametri!$B$1*(1-Parametri!$B$2)+((Coefficienti!$B$4+Coefficienti!$B$5*C$2+Coefficienti!$B$6*$A7)+Coefficienti!$B$7)*(1-Parametri!$B$3))*(1+Parametri!$B$4)+Ferramenta!$D$11+Coefficienti!$B$8*Parametri!$B$5,2)*(1+Parametri!$B$6),2)</f>
        <v>1230.47</v>
      </c>
      <c r="D7" s="4" t="n">
        <f aca="false">ROUND(ROUND(((Coefficienti!$B$1+Coefficienti!$B$2*D$2+Coefficienti!$B$3*$A7)*Parametri!$B$1*(1-Parametri!$B$2)+((Coefficienti!$B$4+Coefficienti!$B$5*D$2+Coefficienti!$B$6*$A7)+Coefficienti!$B$7)*(1-Parametri!$B$3))*(1+Parametri!$B$4)+Ferramenta!$D$11+Coefficienti!$B$8*Parametri!$B$5,2)*(1+Parametri!$B$6),2)</f>
        <v>1250.4</v>
      </c>
      <c r="E7" s="4" t="n">
        <f aca="false">ROUND(ROUND(((Coefficienti!$B$1+Coefficienti!$B$2*E$2+Coefficienti!$B$3*$A7)*Parametri!$B$1*(1-Parametri!$B$2)+((Coefficienti!$B$4+Coefficienti!$B$5*E$2+Coefficienti!$B$6*$A7)+Coefficienti!$B$7)*(1-Parametri!$B$3))*(1+Parametri!$B$4)+Ferramenta!$D$11+Coefficienti!$B$8*Parametri!$B$5,2)*(1+Parametri!$B$6),2)</f>
        <v>1270.37</v>
      </c>
      <c r="F7" s="4" t="n">
        <f aca="false">ROUND(ROUND(((Coefficienti!$B$1+Coefficienti!$B$2*F$2+Coefficienti!$B$3*$A7)*Parametri!$B$1*(1-Parametri!$B$2)+((Coefficienti!$B$4+Coefficienti!$B$5*F$2+Coefficienti!$B$6*$A7)+Coefficienti!$B$7)*(1-Parametri!$B$3))*(1+Parametri!$B$4)+Ferramenta!$D$11+Coefficienti!$B$8*Parametri!$B$5,2)*(1+Parametri!$B$6),2)</f>
        <v>1290.31</v>
      </c>
      <c r="G7" s="4" t="n">
        <f aca="false">ROUND(ROUND(((Coefficienti!$B$1+Coefficienti!$B$2*G$2+Coefficienti!$B$3*$A7)*Parametri!$B$1*(1-Parametri!$B$2)+((Coefficienti!$B$4+Coefficienti!$B$5*G$2+Coefficienti!$B$6*$A7)+Coefficienti!$B$7)*(1-Parametri!$B$3))*(1+Parametri!$B$4)+Ferramenta!$D$11+Coefficienti!$B$8*Parametri!$B$5,2)*(1+Parametri!$B$6),2)</f>
        <v>1310.28</v>
      </c>
      <c r="H7" s="4" t="n">
        <f aca="false">ROUND(ROUND(((Coefficienti!$B$1+Coefficienti!$B$2*H$2+Coefficienti!$B$3*$A7)*Parametri!$B$1*(1-Parametri!$B$2)+((Coefficienti!$B$4+Coefficienti!$B$5*H$2+Coefficienti!$B$6*$A7)+Coefficienti!$B$7)*(1-Parametri!$B$3))*(1+Parametri!$B$4)+Ferramenta!$D$11+Coefficienti!$B$8*Parametri!$B$5,2)*(1+Parametri!$B$6),2)</f>
        <v>1330.22</v>
      </c>
      <c r="I7" s="4" t="n">
        <f aca="false">ROUND(ROUND(((Coefficienti!$B$1+Coefficienti!$B$2*I$2+Coefficienti!$B$3*$A7)*Parametri!$B$1*(1-Parametri!$B$2)+((Coefficienti!$B$4+Coefficienti!$B$5*I$2+Coefficienti!$B$6*$A7)+Coefficienti!$B$7)*(1-Parametri!$B$3))*(1+Parametri!$B$4)+Ferramenta!$D$11+Coefficienti!$B$8*Parametri!$B$5,2)*(1+Parametri!$B$6),2)</f>
        <v>1350.19</v>
      </c>
    </row>
    <row r="8" customFormat="false" ht="15" hidden="false" customHeight="false" outlineLevel="0" collapsed="false">
      <c r="A8" s="2" t="n">
        <v>2400</v>
      </c>
      <c r="B8" s="4" t="n">
        <f aca="false">ROUND(ROUND(((Coefficienti!$B$1+Coefficienti!$B$2*B$2+Coefficienti!$B$3*$A8)*Parametri!$B$1*(1-Parametri!$B$2)+((Coefficienti!$B$4+Coefficienti!$B$5*B$2+Coefficienti!$B$6*$A8)+Coefficienti!$B$7)*(1-Parametri!$B$3))*(1+Parametri!$B$4)+Ferramenta!$D$11+Coefficienti!$B$8*Parametri!$B$5,2)*(1+Parametri!$B$6),2)</f>
        <v>1230.53</v>
      </c>
      <c r="C8" s="4" t="n">
        <f aca="false">ROUND(ROUND(((Coefficienti!$B$1+Coefficienti!$B$2*C$2+Coefficienti!$B$3*$A8)*Parametri!$B$1*(1-Parametri!$B$2)+((Coefficienti!$B$4+Coefficienti!$B$5*C$2+Coefficienti!$B$6*$A8)+Coefficienti!$B$7)*(1-Parametri!$B$3))*(1+Parametri!$B$4)+Ferramenta!$D$11+Coefficienti!$B$8*Parametri!$B$5,2)*(1+Parametri!$B$6),2)</f>
        <v>1250.5</v>
      </c>
      <c r="D8" s="4" t="n">
        <f aca="false">ROUND(ROUND(((Coefficienti!$B$1+Coefficienti!$B$2*D$2+Coefficienti!$B$3*$A8)*Parametri!$B$1*(1-Parametri!$B$2)+((Coefficienti!$B$4+Coefficienti!$B$5*D$2+Coefficienti!$B$6*$A8)+Coefficienti!$B$7)*(1-Parametri!$B$3))*(1+Parametri!$B$4)+Ferramenta!$D$11+Coefficienti!$B$8*Parametri!$B$5,2)*(1+Parametri!$B$6),2)</f>
        <v>1270.44</v>
      </c>
      <c r="E8" s="4" t="n">
        <f aca="false">ROUND(ROUND(((Coefficienti!$B$1+Coefficienti!$B$2*E$2+Coefficienti!$B$3*$A8)*Parametri!$B$1*(1-Parametri!$B$2)+((Coefficienti!$B$4+Coefficienti!$B$5*E$2+Coefficienti!$B$6*$A8)+Coefficienti!$B$7)*(1-Parametri!$B$3))*(1+Parametri!$B$4)+Ferramenta!$D$11+Coefficienti!$B$8*Parametri!$B$5,2)*(1+Parametri!$B$6),2)</f>
        <v>1290.41</v>
      </c>
      <c r="F8" s="4" t="n">
        <f aca="false">ROUND(ROUND(((Coefficienti!$B$1+Coefficienti!$B$2*F$2+Coefficienti!$B$3*$A8)*Parametri!$B$1*(1-Parametri!$B$2)+((Coefficienti!$B$4+Coefficienti!$B$5*F$2+Coefficienti!$B$6*$A8)+Coefficienti!$B$7)*(1-Parametri!$B$3))*(1+Parametri!$B$4)+Ferramenta!$D$11+Coefficienti!$B$8*Parametri!$B$5,2)*(1+Parametri!$B$6),2)</f>
        <v>1310.34</v>
      </c>
      <c r="G8" s="4" t="n">
        <f aca="false">ROUND(ROUND(((Coefficienti!$B$1+Coefficienti!$B$2*G$2+Coefficienti!$B$3*$A8)*Parametri!$B$1*(1-Parametri!$B$2)+((Coefficienti!$B$4+Coefficienti!$B$5*G$2+Coefficienti!$B$6*$A8)+Coefficienti!$B$7)*(1-Parametri!$B$3))*(1+Parametri!$B$4)+Ferramenta!$D$11+Coefficienti!$B$8*Parametri!$B$5,2)*(1+Parametri!$B$6),2)</f>
        <v>1330.31</v>
      </c>
      <c r="H8" s="4" t="n">
        <f aca="false">ROUND(ROUND(((Coefficienti!$B$1+Coefficienti!$B$2*H$2+Coefficienti!$B$3*$A8)*Parametri!$B$1*(1-Parametri!$B$2)+((Coefficienti!$B$4+Coefficienti!$B$5*H$2+Coefficienti!$B$6*$A8)+Coefficienti!$B$7)*(1-Parametri!$B$3))*(1+Parametri!$B$4)+Ferramenta!$D$11+Coefficienti!$B$8*Parametri!$B$5,2)*(1+Parametri!$B$6),2)</f>
        <v>1350.25</v>
      </c>
      <c r="I8" s="4" t="n">
        <f aca="false">ROUND(ROUND(((Coefficienti!$B$1+Coefficienti!$B$2*I$2+Coefficienti!$B$3*$A8)*Parametri!$B$1*(1-Parametri!$B$2)+((Coefficienti!$B$4+Coefficienti!$B$5*I$2+Coefficienti!$B$6*$A8)+Coefficienti!$B$7)*(1-Parametri!$B$3))*(1+Parametri!$B$4)+Ferramenta!$D$11+Coefficienti!$B$8*Parametri!$B$5,2)*(1+Parametri!$B$6),2)</f>
        <v>1370.22</v>
      </c>
    </row>
    <row r="9" customFormat="false" ht="15" hidden="false" customHeight="false" outlineLevel="0" collapsed="false">
      <c r="A9" s="2" t="n">
        <v>2500</v>
      </c>
      <c r="B9" s="4" t="n">
        <f aca="false">ROUND(ROUND(((Coefficienti!$B$1+Coefficienti!$B$2*B$2+Coefficienti!$B$3*$A9)*Parametri!$B$1*(1-Parametri!$B$2)+((Coefficienti!$B$4+Coefficienti!$B$5*B$2+Coefficienti!$B$6*$A9)+Coefficienti!$B$7)*(1-Parametri!$B$3))*(1+Parametri!$B$4)+Ferramenta!$D$11+Coefficienti!$B$8*Parametri!$B$5,2)*(1+Parametri!$B$6),2)</f>
        <v>1250.59</v>
      </c>
      <c r="C9" s="4" t="n">
        <f aca="false">ROUND(ROUND(((Coefficienti!$B$1+Coefficienti!$B$2*C$2+Coefficienti!$B$3*$A9)*Parametri!$B$1*(1-Parametri!$B$2)+((Coefficienti!$B$4+Coefficienti!$B$5*C$2+Coefficienti!$B$6*$A9)+Coefficienti!$B$7)*(1-Parametri!$B$3))*(1+Parametri!$B$4)+Ferramenta!$D$11+Coefficienti!$B$8*Parametri!$B$5,2)*(1+Parametri!$B$6),2)</f>
        <v>1270.53</v>
      </c>
      <c r="D9" s="4" t="n">
        <f aca="false">ROUND(ROUND(((Coefficienti!$B$1+Coefficienti!$B$2*D$2+Coefficienti!$B$3*$A9)*Parametri!$B$1*(1-Parametri!$B$2)+((Coefficienti!$B$4+Coefficienti!$B$5*D$2+Coefficienti!$B$6*$A9)+Coefficienti!$B$7)*(1-Parametri!$B$3))*(1+Parametri!$B$4)+Ferramenta!$D$11+Coefficienti!$B$8*Parametri!$B$5,2)*(1+Parametri!$B$6),2)</f>
        <v>1290.5</v>
      </c>
      <c r="E9" s="4" t="n">
        <f aca="false">ROUND(ROUND(((Coefficienti!$B$1+Coefficienti!$B$2*E$2+Coefficienti!$B$3*$A9)*Parametri!$B$1*(1-Parametri!$B$2)+((Coefficienti!$B$4+Coefficienti!$B$5*E$2+Coefficienti!$B$6*$A9)+Coefficienti!$B$7)*(1-Parametri!$B$3))*(1+Parametri!$B$4)+Ferramenta!$D$11+Coefficienti!$B$8*Parametri!$B$5,2)*(1+Parametri!$B$6),2)</f>
        <v>1310.44</v>
      </c>
      <c r="F9" s="4" t="n">
        <f aca="false">ROUND(ROUND(((Coefficienti!$B$1+Coefficienti!$B$2*F$2+Coefficienti!$B$3*$A9)*Parametri!$B$1*(1-Parametri!$B$2)+((Coefficienti!$B$4+Coefficienti!$B$5*F$2+Coefficienti!$B$6*$A9)+Coefficienti!$B$7)*(1-Parametri!$B$3))*(1+Parametri!$B$4)+Ferramenta!$D$11+Coefficienti!$B$8*Parametri!$B$5,2)*(1+Parametri!$B$6),2)</f>
        <v>1330.41</v>
      </c>
      <c r="G9" s="4" t="n">
        <f aca="false">ROUND(ROUND(((Coefficienti!$B$1+Coefficienti!$B$2*G$2+Coefficienti!$B$3*$A9)*Parametri!$B$1*(1-Parametri!$B$2)+((Coefficienti!$B$4+Coefficienti!$B$5*G$2+Coefficienti!$B$6*$A9)+Coefficienti!$B$7)*(1-Parametri!$B$3))*(1+Parametri!$B$4)+Ferramenta!$D$11+Coefficienti!$B$8*Parametri!$B$5,2)*(1+Parametri!$B$6),2)</f>
        <v>1350.34</v>
      </c>
      <c r="H9" s="4" t="n">
        <f aca="false">ROUND(ROUND(((Coefficienti!$B$1+Coefficienti!$B$2*H$2+Coefficienti!$B$3*$A9)*Parametri!$B$1*(1-Parametri!$B$2)+((Coefficienti!$B$4+Coefficienti!$B$5*H$2+Coefficienti!$B$6*$A9)+Coefficienti!$B$7)*(1-Parametri!$B$3))*(1+Parametri!$B$4)+Ferramenta!$D$11+Coefficienti!$B$8*Parametri!$B$5,2)*(1+Parametri!$B$6),2)</f>
        <v>1370.31</v>
      </c>
      <c r="I9" s="4" t="n">
        <f aca="false">ROUND(ROUND(((Coefficienti!$B$1+Coefficienti!$B$2*I$2+Coefficienti!$B$3*$A9)*Parametri!$B$1*(1-Parametri!$B$2)+((Coefficienti!$B$4+Coefficienti!$B$5*I$2+Coefficienti!$B$6*$A9)+Coefficienti!$B$7)*(1-Parametri!$B$3))*(1+Parametri!$B$4)+Ferramenta!$D$11+Coefficienti!$B$8*Parametri!$B$5,2)*(1+Parametri!$B$6),2)</f>
        <v>1390.25</v>
      </c>
    </row>
    <row r="10" customFormat="false" ht="15" hidden="false" customHeight="false" outlineLevel="0" collapsed="false">
      <c r="A10" s="2" t="n">
        <v>2600</v>
      </c>
      <c r="B10" s="4" t="n">
        <f aca="false">ROUND(ROUND(((Coefficienti!$B$1+Coefficienti!$B$2*B$2+Coefficienti!$B$3*$A10)*Parametri!$B$1*(1-Parametri!$B$2)+((Coefficienti!$B$4+Coefficienti!$B$5*B$2+Coefficienti!$B$6*$A10)+Coefficienti!$B$7)*(1-Parametri!$B$3))*(1+Parametri!$B$4)+Ferramenta!$D$11+Coefficienti!$B$8*Parametri!$B$5,2)*(1+Parametri!$B$6),2)</f>
        <v>1270.62</v>
      </c>
      <c r="C10" s="4" t="n">
        <f aca="false">ROUND(ROUND(((Coefficienti!$B$1+Coefficienti!$B$2*C$2+Coefficienti!$B$3*$A10)*Parametri!$B$1*(1-Parametri!$B$2)+((Coefficienti!$B$4+Coefficienti!$B$5*C$2+Coefficienti!$B$6*$A10)+Coefficienti!$B$7)*(1-Parametri!$B$3))*(1+Parametri!$B$4)+Ferramenta!$D$11+Coefficienti!$B$8*Parametri!$B$5,2)*(1+Parametri!$B$6),2)</f>
        <v>1290.56</v>
      </c>
      <c r="D10" s="4" t="n">
        <f aca="false">ROUND(ROUND(((Coefficienti!$B$1+Coefficienti!$B$2*D$2+Coefficienti!$B$3*$A10)*Parametri!$B$1*(1-Parametri!$B$2)+((Coefficienti!$B$4+Coefficienti!$B$5*D$2+Coefficienti!$B$6*$A10)+Coefficienti!$B$7)*(1-Parametri!$B$3))*(1+Parametri!$B$4)+Ferramenta!$D$11+Coefficienti!$B$8*Parametri!$B$5,2)*(1+Parametri!$B$6),2)</f>
        <v>1310.53</v>
      </c>
      <c r="E10" s="4" t="n">
        <f aca="false">ROUND(ROUND(((Coefficienti!$B$1+Coefficienti!$B$2*E$2+Coefficienti!$B$3*$A10)*Parametri!$B$1*(1-Parametri!$B$2)+((Coefficienti!$B$4+Coefficienti!$B$5*E$2+Coefficienti!$B$6*$A10)+Coefficienti!$B$7)*(1-Parametri!$B$3))*(1+Parametri!$B$4)+Ferramenta!$D$11+Coefficienti!$B$8*Parametri!$B$5,2)*(1+Parametri!$B$6),2)</f>
        <v>1330.47</v>
      </c>
      <c r="F10" s="4" t="n">
        <f aca="false">ROUND(ROUND(((Coefficienti!$B$1+Coefficienti!$B$2*F$2+Coefficienti!$B$3*$A10)*Parametri!$B$1*(1-Parametri!$B$2)+((Coefficienti!$B$4+Coefficienti!$B$5*F$2+Coefficienti!$B$6*$A10)+Coefficienti!$B$7)*(1-Parametri!$B$3))*(1+Parametri!$B$4)+Ferramenta!$D$11+Coefficienti!$B$8*Parametri!$B$5,2)*(1+Parametri!$B$6),2)</f>
        <v>1350.44</v>
      </c>
      <c r="G10" s="4" t="n">
        <f aca="false">ROUND(ROUND(((Coefficienti!$B$1+Coefficienti!$B$2*G$2+Coefficienti!$B$3*$A10)*Parametri!$B$1*(1-Parametri!$B$2)+((Coefficienti!$B$4+Coefficienti!$B$5*G$2+Coefficienti!$B$6*$A10)+Coefficienti!$B$7)*(1-Parametri!$B$3))*(1+Parametri!$B$4)+Ferramenta!$D$11+Coefficienti!$B$8*Parametri!$B$5,2)*(1+Parametri!$B$6),2)</f>
        <v>1370.38</v>
      </c>
      <c r="H10" s="4" t="n">
        <f aca="false">ROUND(ROUND(((Coefficienti!$B$1+Coefficienti!$B$2*H$2+Coefficienti!$B$3*$A10)*Parametri!$B$1*(1-Parametri!$B$2)+((Coefficienti!$B$4+Coefficienti!$B$5*H$2+Coefficienti!$B$6*$A10)+Coefficienti!$B$7)*(1-Parametri!$B$3))*(1+Parametri!$B$4)+Ferramenta!$D$11+Coefficienti!$B$8*Parametri!$B$5,2)*(1+Parametri!$B$6),2)</f>
        <v>1390.35</v>
      </c>
      <c r="I10" s="4" t="n">
        <f aca="false">ROUND(ROUND(((Coefficienti!$B$1+Coefficienti!$B$2*I$2+Coefficienti!$B$3*$A10)*Parametri!$B$1*(1-Parametri!$B$2)+((Coefficienti!$B$4+Coefficienti!$B$5*I$2+Coefficienti!$B$6*$A10)+Coefficienti!$B$7)*(1-Parametri!$B$3))*(1+Parametri!$B$4)+Ferramenta!$D$11+Coefficienti!$B$8*Parametri!$B$5,2)*(1+Parametri!$B$6),2)</f>
        <v>1410.28</v>
      </c>
    </row>
    <row r="11" customFormat="false" ht="15" hidden="false" customHeight="false" outlineLevel="0" collapsed="false">
      <c r="A11" s="2" t="n">
        <v>2700</v>
      </c>
      <c r="B11" s="4" t="n">
        <f aca="false">ROUND(ROUND(((Coefficienti!$B$1+Coefficienti!$B$2*B$2+Coefficienti!$B$3*$A11)*Parametri!$B$1*(1-Parametri!$B$2)+((Coefficienti!$B$4+Coefficienti!$B$5*B$2+Coefficienti!$B$6*$A11)+Coefficienti!$B$7)*(1-Parametri!$B$3))*(1+Parametri!$B$4)+Ferramenta!$D$11+Coefficienti!$B$8*Parametri!$B$5,2)*(1+Parametri!$B$6),2)</f>
        <v>1290.66</v>
      </c>
      <c r="C11" s="4" t="n">
        <f aca="false">ROUND(ROUND(((Coefficienti!$B$1+Coefficienti!$B$2*C$2+Coefficienti!$B$3*$A11)*Parametri!$B$1*(1-Parametri!$B$2)+((Coefficienti!$B$4+Coefficienti!$B$5*C$2+Coefficienti!$B$6*$A11)+Coefficienti!$B$7)*(1-Parametri!$B$3))*(1+Parametri!$B$4)+Ferramenta!$D$11+Coefficienti!$B$8*Parametri!$B$5,2)*(1+Parametri!$B$6),2)</f>
        <v>1310.59</v>
      </c>
      <c r="D11" s="4" t="n">
        <f aca="false">ROUND(ROUND(((Coefficienti!$B$1+Coefficienti!$B$2*D$2+Coefficienti!$B$3*$A11)*Parametri!$B$1*(1-Parametri!$B$2)+((Coefficienti!$B$4+Coefficienti!$B$5*D$2+Coefficienti!$B$6*$A11)+Coefficienti!$B$7)*(1-Parametri!$B$3))*(1+Parametri!$B$4)+Ferramenta!$D$11+Coefficienti!$B$8*Parametri!$B$5,2)*(1+Parametri!$B$6),2)</f>
        <v>1330.56</v>
      </c>
      <c r="E11" s="4" t="n">
        <f aca="false">ROUND(ROUND(((Coefficienti!$B$1+Coefficienti!$B$2*E$2+Coefficienti!$B$3*$A11)*Parametri!$B$1*(1-Parametri!$B$2)+((Coefficienti!$B$4+Coefficienti!$B$5*E$2+Coefficienti!$B$6*$A11)+Coefficienti!$B$7)*(1-Parametri!$B$3))*(1+Parametri!$B$4)+Ferramenta!$D$11+Coefficienti!$B$8*Parametri!$B$5,2)*(1+Parametri!$B$6),2)</f>
        <v>1350.5</v>
      </c>
      <c r="F11" s="4" t="n">
        <f aca="false">ROUND(ROUND(((Coefficienti!$B$1+Coefficienti!$B$2*F$2+Coefficienti!$B$3*$A11)*Parametri!$B$1*(1-Parametri!$B$2)+((Coefficienti!$B$4+Coefficienti!$B$5*F$2+Coefficienti!$B$6*$A11)+Coefficienti!$B$7)*(1-Parametri!$B$3))*(1+Parametri!$B$4)+Ferramenta!$D$11+Coefficienti!$B$8*Parametri!$B$5,2)*(1+Parametri!$B$6),2)</f>
        <v>1370.47</v>
      </c>
      <c r="G11" s="4" t="n">
        <f aca="false">ROUND(ROUND(((Coefficienti!$B$1+Coefficienti!$B$2*G$2+Coefficienti!$B$3*$A11)*Parametri!$B$1*(1-Parametri!$B$2)+((Coefficienti!$B$4+Coefficienti!$B$5*G$2+Coefficienti!$B$6*$A11)+Coefficienti!$B$7)*(1-Parametri!$B$3))*(1+Parametri!$B$4)+Ferramenta!$D$11+Coefficienti!$B$8*Parametri!$B$5,2)*(1+Parametri!$B$6),2)</f>
        <v>1390.41</v>
      </c>
      <c r="H11" s="4" t="n">
        <f aca="false">ROUND(ROUND(((Coefficienti!$B$1+Coefficienti!$B$2*H$2+Coefficienti!$B$3*$A11)*Parametri!$B$1*(1-Parametri!$B$2)+((Coefficienti!$B$4+Coefficienti!$B$5*H$2+Coefficienti!$B$6*$A11)+Coefficienti!$B$7)*(1-Parametri!$B$3))*(1+Parametri!$B$4)+Ferramenta!$D$11+Coefficienti!$B$8*Parametri!$B$5,2)*(1+Parametri!$B$6),2)</f>
        <v>1410.38</v>
      </c>
      <c r="I11" s="4" t="n">
        <f aca="false">ROUND(ROUND(((Coefficienti!$B$1+Coefficienti!$B$2*I$2+Coefficienti!$B$3*$A11)*Parametri!$B$1*(1-Parametri!$B$2)+((Coefficienti!$B$4+Coefficienti!$B$5*I$2+Coefficienti!$B$6*$A11)+Coefficienti!$B$7)*(1-Parametri!$B$3))*(1+Parametri!$B$4)+Ferramenta!$D$11+Coefficienti!$B$8*Parametri!$B$5,2)*(1+Parametri!$B$6),2)</f>
        <v>1430.32</v>
      </c>
    </row>
    <row r="14" customFormat="false" ht="15" hidden="false" customHeight="false" outlineLevel="0" collapsed="false">
      <c r="A14" s="1" t="s">
        <v>2</v>
      </c>
    </row>
    <row r="15" customFormat="false" ht="15" hidden="false" customHeight="false" outlineLevel="0" collapsed="false">
      <c r="A15" s="2" t="s">
        <v>1</v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 customFormat="false" ht="15" hidden="false" customHeight="false" outlineLevel="0" collapsed="false">
      <c r="A16" s="2" t="n">
        <v>1900</v>
      </c>
      <c r="B16" s="4" t="n">
        <f aca="false">ROUND(((Coefficienti!$B$1+Coefficienti!$B$2*B$15+Coefficienti!$B$3*$A16)*Parametri!$B$1*(1-Parametri!$B$2)+((Coefficienti!$B$4+Coefficienti!$B$5*B$15+Coefficienti!$B$6*$A16)+Coefficienti!$B$7)*(1-Parametri!$B$3))*(1+Parametri!$B$4)+Ferramenta!$D$11+Coefficienti!$B$8*Parametri!$B$5,2)</f>
        <v>361.14</v>
      </c>
      <c r="C16" s="4" t="n">
        <f aca="false">ROUND(((Coefficienti!$B$1+Coefficienti!$B$2*C$15+Coefficienti!$B$3*$A16)*Parametri!$B$1*(1-Parametri!$B$2)+((Coefficienti!$B$4+Coefficienti!$B$5*C$15+Coefficienti!$B$6*$A16)+Coefficienti!$B$7)*(1-Parametri!$B$3))*(1+Parametri!$B$4)+Ferramenta!$D$11+Coefficienti!$B$8*Parametri!$B$5,2)</f>
        <v>367.51</v>
      </c>
      <c r="D16" s="4" t="n">
        <f aca="false">ROUND(((Coefficienti!$B$1+Coefficienti!$B$2*D$15+Coefficienti!$B$3*$A16)*Parametri!$B$1*(1-Parametri!$B$2)+((Coefficienti!$B$4+Coefficienti!$B$5*D$15+Coefficienti!$B$6*$A16)+Coefficienti!$B$7)*(1-Parametri!$B$3))*(1+Parametri!$B$4)+Ferramenta!$D$11+Coefficienti!$B$8*Parametri!$B$5,2)</f>
        <v>373.89</v>
      </c>
      <c r="E16" s="4" t="n">
        <f aca="false">ROUND(((Coefficienti!$B$1+Coefficienti!$B$2*E$15+Coefficienti!$B$3*$A16)*Parametri!$B$1*(1-Parametri!$B$2)+((Coefficienti!$B$4+Coefficienti!$B$5*E$15+Coefficienti!$B$6*$A16)+Coefficienti!$B$7)*(1-Parametri!$B$3))*(1+Parametri!$B$4)+Ferramenta!$D$11+Coefficienti!$B$8*Parametri!$B$5,2)</f>
        <v>380.26</v>
      </c>
      <c r="F16" s="4" t="n">
        <f aca="false">ROUND(((Coefficienti!$B$1+Coefficienti!$B$2*F$15+Coefficienti!$B$3*$A16)*Parametri!$B$1*(1-Parametri!$B$2)+((Coefficienti!$B$4+Coefficienti!$B$5*F$15+Coefficienti!$B$6*$A16)+Coefficienti!$B$7)*(1-Parametri!$B$3))*(1+Parametri!$B$4)+Ferramenta!$D$11+Coefficienti!$B$8*Parametri!$B$5,2)</f>
        <v>386.64</v>
      </c>
      <c r="G16" s="4" t="n">
        <f aca="false">ROUND(((Coefficienti!$B$1+Coefficienti!$B$2*G$15+Coefficienti!$B$3*$A16)*Parametri!$B$1*(1-Parametri!$B$2)+((Coefficienti!$B$4+Coefficienti!$B$5*G$15+Coefficienti!$B$6*$A16)+Coefficienti!$B$7)*(1-Parametri!$B$3))*(1+Parametri!$B$4)+Ferramenta!$D$11+Coefficienti!$B$8*Parametri!$B$5,2)</f>
        <v>393.01</v>
      </c>
      <c r="H16" s="4" t="n">
        <f aca="false">ROUND(((Coefficienti!$B$1+Coefficienti!$B$2*H$15+Coefficienti!$B$3*$A16)*Parametri!$B$1*(1-Parametri!$B$2)+((Coefficienti!$B$4+Coefficienti!$B$5*H$15+Coefficienti!$B$6*$A16)+Coefficienti!$B$7)*(1-Parametri!$B$3))*(1+Parametri!$B$4)+Ferramenta!$D$11+Coefficienti!$B$8*Parametri!$B$5,2)</f>
        <v>399.39</v>
      </c>
      <c r="I16" s="4" t="n">
        <f aca="false">ROUND(((Coefficienti!$B$1+Coefficienti!$B$2*I$15+Coefficienti!$B$3*$A16)*Parametri!$B$1*(1-Parametri!$B$2)+((Coefficienti!$B$4+Coefficienti!$B$5*I$15+Coefficienti!$B$6*$A16)+Coefficienti!$B$7)*(1-Parametri!$B$3))*(1+Parametri!$B$4)+Ferramenta!$D$11+Coefficienti!$B$8*Parametri!$B$5,2)</f>
        <v>405.76</v>
      </c>
    </row>
    <row r="17" customFormat="false" ht="15" hidden="false" customHeight="false" outlineLevel="0" collapsed="false">
      <c r="A17" s="2" t="n">
        <v>2000</v>
      </c>
      <c r="B17" s="4" t="n">
        <f aca="false">ROUND(((Coefficienti!$B$1+Coefficienti!$B$2*B$15+Coefficienti!$B$3*$A17)*Parametri!$B$1*(1-Parametri!$B$2)+((Coefficienti!$B$4+Coefficienti!$B$5*B$15+Coefficienti!$B$6*$A17)+Coefficienti!$B$7)*(1-Parametri!$B$3))*(1+Parametri!$B$4)+Ferramenta!$D$11+Coefficienti!$B$8*Parametri!$B$5,2)</f>
        <v>367.54</v>
      </c>
      <c r="C17" s="4" t="n">
        <f aca="false">ROUND(((Coefficienti!$B$1+Coefficienti!$B$2*C$15+Coefficienti!$B$3*$A17)*Parametri!$B$1*(1-Parametri!$B$2)+((Coefficienti!$B$4+Coefficienti!$B$5*C$15+Coefficienti!$B$6*$A17)+Coefficienti!$B$7)*(1-Parametri!$B$3))*(1+Parametri!$B$4)+Ferramenta!$D$11+Coefficienti!$B$8*Parametri!$B$5,2)</f>
        <v>373.91</v>
      </c>
      <c r="D17" s="4" t="n">
        <f aca="false">ROUND(((Coefficienti!$B$1+Coefficienti!$B$2*D$15+Coefficienti!$B$3*$A17)*Parametri!$B$1*(1-Parametri!$B$2)+((Coefficienti!$B$4+Coefficienti!$B$5*D$15+Coefficienti!$B$6*$A17)+Coefficienti!$B$7)*(1-Parametri!$B$3))*(1+Parametri!$B$4)+Ferramenta!$D$11+Coefficienti!$B$8*Parametri!$B$5,2)</f>
        <v>380.29</v>
      </c>
      <c r="E17" s="4" t="n">
        <f aca="false">ROUND(((Coefficienti!$B$1+Coefficienti!$B$2*E$15+Coefficienti!$B$3*$A17)*Parametri!$B$1*(1-Parametri!$B$2)+((Coefficienti!$B$4+Coefficienti!$B$5*E$15+Coefficienti!$B$6*$A17)+Coefficienti!$B$7)*(1-Parametri!$B$3))*(1+Parametri!$B$4)+Ferramenta!$D$11+Coefficienti!$B$8*Parametri!$B$5,2)</f>
        <v>386.66</v>
      </c>
      <c r="F17" s="4" t="n">
        <f aca="false">ROUND(((Coefficienti!$B$1+Coefficienti!$B$2*F$15+Coefficienti!$B$3*$A17)*Parametri!$B$1*(1-Parametri!$B$2)+((Coefficienti!$B$4+Coefficienti!$B$5*F$15+Coefficienti!$B$6*$A17)+Coefficienti!$B$7)*(1-Parametri!$B$3))*(1+Parametri!$B$4)+Ferramenta!$D$11+Coefficienti!$B$8*Parametri!$B$5,2)</f>
        <v>393.04</v>
      </c>
      <c r="G17" s="4" t="n">
        <f aca="false">ROUND(((Coefficienti!$B$1+Coefficienti!$B$2*G$15+Coefficienti!$B$3*$A17)*Parametri!$B$1*(1-Parametri!$B$2)+((Coefficienti!$B$4+Coefficienti!$B$5*G$15+Coefficienti!$B$6*$A17)+Coefficienti!$B$7)*(1-Parametri!$B$3))*(1+Parametri!$B$4)+Ferramenta!$D$11+Coefficienti!$B$8*Parametri!$B$5,2)</f>
        <v>399.41</v>
      </c>
      <c r="H17" s="4" t="n">
        <f aca="false">ROUND(((Coefficienti!$B$1+Coefficienti!$B$2*H$15+Coefficienti!$B$3*$A17)*Parametri!$B$1*(1-Parametri!$B$2)+((Coefficienti!$B$4+Coefficienti!$B$5*H$15+Coefficienti!$B$6*$A17)+Coefficienti!$B$7)*(1-Parametri!$B$3))*(1+Parametri!$B$4)+Ferramenta!$D$11+Coefficienti!$B$8*Parametri!$B$5,2)</f>
        <v>405.79</v>
      </c>
      <c r="I17" s="4" t="n">
        <f aca="false">ROUND(((Coefficienti!$B$1+Coefficienti!$B$2*I$15+Coefficienti!$B$3*$A17)*Parametri!$B$1*(1-Parametri!$B$2)+((Coefficienti!$B$4+Coefficienti!$B$5*I$15+Coefficienti!$B$6*$A17)+Coefficienti!$B$7)*(1-Parametri!$B$3))*(1+Parametri!$B$4)+Ferramenta!$D$11+Coefficienti!$B$8*Parametri!$B$5,2)</f>
        <v>412.16</v>
      </c>
    </row>
    <row r="18" customFormat="false" ht="15" hidden="false" customHeight="false" outlineLevel="0" collapsed="false">
      <c r="A18" s="2" t="n">
        <v>2100</v>
      </c>
      <c r="B18" s="4" t="n">
        <f aca="false">ROUND(((Coefficienti!$B$1+Coefficienti!$B$2*B$15+Coefficienti!$B$3*$A18)*Parametri!$B$1*(1-Parametri!$B$2)+((Coefficienti!$B$4+Coefficienti!$B$5*B$15+Coefficienti!$B$6*$A18)+Coefficienti!$B$7)*(1-Parametri!$B$3))*(1+Parametri!$B$4)+Ferramenta!$D$11+Coefficienti!$B$8*Parametri!$B$5,2)</f>
        <v>373.94</v>
      </c>
      <c r="C18" s="4" t="n">
        <f aca="false">ROUND(((Coefficienti!$B$1+Coefficienti!$B$2*C$15+Coefficienti!$B$3*$A18)*Parametri!$B$1*(1-Parametri!$B$2)+((Coefficienti!$B$4+Coefficienti!$B$5*C$15+Coefficienti!$B$6*$A18)+Coefficienti!$B$7)*(1-Parametri!$B$3))*(1+Parametri!$B$4)+Ferramenta!$D$11+Coefficienti!$B$8*Parametri!$B$5,2)</f>
        <v>380.31</v>
      </c>
      <c r="D18" s="4" t="n">
        <f aca="false">ROUND(((Coefficienti!$B$1+Coefficienti!$B$2*D$15+Coefficienti!$B$3*$A18)*Parametri!$B$1*(1-Parametri!$B$2)+((Coefficienti!$B$4+Coefficienti!$B$5*D$15+Coefficienti!$B$6*$A18)+Coefficienti!$B$7)*(1-Parametri!$B$3))*(1+Parametri!$B$4)+Ferramenta!$D$11+Coefficienti!$B$8*Parametri!$B$5,2)</f>
        <v>386.69</v>
      </c>
      <c r="E18" s="4" t="n">
        <f aca="false">ROUND(((Coefficienti!$B$1+Coefficienti!$B$2*E$15+Coefficienti!$B$3*$A18)*Parametri!$B$1*(1-Parametri!$B$2)+((Coefficienti!$B$4+Coefficienti!$B$5*E$15+Coefficienti!$B$6*$A18)+Coefficienti!$B$7)*(1-Parametri!$B$3))*(1+Parametri!$B$4)+Ferramenta!$D$11+Coefficienti!$B$8*Parametri!$B$5,2)</f>
        <v>393.06</v>
      </c>
      <c r="F18" s="4" t="n">
        <f aca="false">ROUND(((Coefficienti!$B$1+Coefficienti!$B$2*F$15+Coefficienti!$B$3*$A18)*Parametri!$B$1*(1-Parametri!$B$2)+((Coefficienti!$B$4+Coefficienti!$B$5*F$15+Coefficienti!$B$6*$A18)+Coefficienti!$B$7)*(1-Parametri!$B$3))*(1+Parametri!$B$4)+Ferramenta!$D$11+Coefficienti!$B$8*Parametri!$B$5,2)</f>
        <v>399.44</v>
      </c>
      <c r="G18" s="4" t="n">
        <f aca="false">ROUND(((Coefficienti!$B$1+Coefficienti!$B$2*G$15+Coefficienti!$B$3*$A18)*Parametri!$B$1*(1-Parametri!$B$2)+((Coefficienti!$B$4+Coefficienti!$B$5*G$15+Coefficienti!$B$6*$A18)+Coefficienti!$B$7)*(1-Parametri!$B$3))*(1+Parametri!$B$4)+Ferramenta!$D$11+Coefficienti!$B$8*Parametri!$B$5,2)</f>
        <v>405.81</v>
      </c>
      <c r="H18" s="4" t="n">
        <f aca="false">ROUND(((Coefficienti!$B$1+Coefficienti!$B$2*H$15+Coefficienti!$B$3*$A18)*Parametri!$B$1*(1-Parametri!$B$2)+((Coefficienti!$B$4+Coefficienti!$B$5*H$15+Coefficienti!$B$6*$A18)+Coefficienti!$B$7)*(1-Parametri!$B$3))*(1+Parametri!$B$4)+Ferramenta!$D$11+Coefficienti!$B$8*Parametri!$B$5,2)</f>
        <v>412.19</v>
      </c>
      <c r="I18" s="4" t="n">
        <f aca="false">ROUND(((Coefficienti!$B$1+Coefficienti!$B$2*I$15+Coefficienti!$B$3*$A18)*Parametri!$B$1*(1-Parametri!$B$2)+((Coefficienti!$B$4+Coefficienti!$B$5*I$15+Coefficienti!$B$6*$A18)+Coefficienti!$B$7)*(1-Parametri!$B$3))*(1+Parametri!$B$4)+Ferramenta!$D$11+Coefficienti!$B$8*Parametri!$B$5,2)</f>
        <v>418.56</v>
      </c>
    </row>
    <row r="19" customFormat="false" ht="15" hidden="false" customHeight="false" outlineLevel="0" collapsed="false">
      <c r="A19" s="2" t="n">
        <v>2200</v>
      </c>
      <c r="B19" s="4" t="n">
        <f aca="false">ROUND(((Coefficienti!$B$1+Coefficienti!$B$2*B$15+Coefficienti!$B$3*$A19)*Parametri!$B$1*(1-Parametri!$B$2)+((Coefficienti!$B$4+Coefficienti!$B$5*B$15+Coefficienti!$B$6*$A19)+Coefficienti!$B$7)*(1-Parametri!$B$3))*(1+Parametri!$B$4)+Ferramenta!$D$11+Coefficienti!$B$8*Parametri!$B$5,2)</f>
        <v>380.34</v>
      </c>
      <c r="C19" s="4" t="n">
        <f aca="false">ROUND(((Coefficienti!$B$1+Coefficienti!$B$2*C$15+Coefficienti!$B$3*$A19)*Parametri!$B$1*(1-Parametri!$B$2)+((Coefficienti!$B$4+Coefficienti!$B$5*C$15+Coefficienti!$B$6*$A19)+Coefficienti!$B$7)*(1-Parametri!$B$3))*(1+Parametri!$B$4)+Ferramenta!$D$11+Coefficienti!$B$8*Parametri!$B$5,2)</f>
        <v>386.72</v>
      </c>
      <c r="D19" s="4" t="n">
        <f aca="false">ROUND(((Coefficienti!$B$1+Coefficienti!$B$2*D$15+Coefficienti!$B$3*$A19)*Parametri!$B$1*(1-Parametri!$B$2)+((Coefficienti!$B$4+Coefficienti!$B$5*D$15+Coefficienti!$B$6*$A19)+Coefficienti!$B$7)*(1-Parametri!$B$3))*(1+Parametri!$B$4)+Ferramenta!$D$11+Coefficienti!$B$8*Parametri!$B$5,2)</f>
        <v>393.09</v>
      </c>
      <c r="E19" s="4" t="n">
        <f aca="false">ROUND(((Coefficienti!$B$1+Coefficienti!$B$2*E$15+Coefficienti!$B$3*$A19)*Parametri!$B$1*(1-Parametri!$B$2)+((Coefficienti!$B$4+Coefficienti!$B$5*E$15+Coefficienti!$B$6*$A19)+Coefficienti!$B$7)*(1-Parametri!$B$3))*(1+Parametri!$B$4)+Ferramenta!$D$11+Coefficienti!$B$8*Parametri!$B$5,2)</f>
        <v>399.47</v>
      </c>
      <c r="F19" s="4" t="n">
        <f aca="false">ROUND(((Coefficienti!$B$1+Coefficienti!$B$2*F$15+Coefficienti!$B$3*$A19)*Parametri!$B$1*(1-Parametri!$B$2)+((Coefficienti!$B$4+Coefficienti!$B$5*F$15+Coefficienti!$B$6*$A19)+Coefficienti!$B$7)*(1-Parametri!$B$3))*(1+Parametri!$B$4)+Ferramenta!$D$11+Coefficienti!$B$8*Parametri!$B$5,2)</f>
        <v>405.84</v>
      </c>
      <c r="G19" s="4" t="n">
        <f aca="false">ROUND(((Coefficienti!$B$1+Coefficienti!$B$2*G$15+Coefficienti!$B$3*$A19)*Parametri!$B$1*(1-Parametri!$B$2)+((Coefficienti!$B$4+Coefficienti!$B$5*G$15+Coefficienti!$B$6*$A19)+Coefficienti!$B$7)*(1-Parametri!$B$3))*(1+Parametri!$B$4)+Ferramenta!$D$11+Coefficienti!$B$8*Parametri!$B$5,2)</f>
        <v>412.22</v>
      </c>
      <c r="H19" s="4" t="n">
        <f aca="false">ROUND(((Coefficienti!$B$1+Coefficienti!$B$2*H$15+Coefficienti!$B$3*$A19)*Parametri!$B$1*(1-Parametri!$B$2)+((Coefficienti!$B$4+Coefficienti!$B$5*H$15+Coefficienti!$B$6*$A19)+Coefficienti!$B$7)*(1-Parametri!$B$3))*(1+Parametri!$B$4)+Ferramenta!$D$11+Coefficienti!$B$8*Parametri!$B$5,2)</f>
        <v>418.59</v>
      </c>
      <c r="I19" s="4" t="n">
        <f aca="false">ROUND(((Coefficienti!$B$1+Coefficienti!$B$2*I$15+Coefficienti!$B$3*$A19)*Parametri!$B$1*(1-Parametri!$B$2)+((Coefficienti!$B$4+Coefficienti!$B$5*I$15+Coefficienti!$B$6*$A19)+Coefficienti!$B$7)*(1-Parametri!$B$3))*(1+Parametri!$B$4)+Ferramenta!$D$11+Coefficienti!$B$8*Parametri!$B$5,2)</f>
        <v>424.97</v>
      </c>
    </row>
    <row r="20" customFormat="false" ht="15" hidden="false" customHeight="false" outlineLevel="0" collapsed="false">
      <c r="A20" s="2" t="n">
        <v>2300</v>
      </c>
      <c r="B20" s="4" t="n">
        <f aca="false">ROUND(((Coefficienti!$B$1+Coefficienti!$B$2*B$15+Coefficienti!$B$3*$A20)*Parametri!$B$1*(1-Parametri!$B$2)+((Coefficienti!$B$4+Coefficienti!$B$5*B$15+Coefficienti!$B$6*$A20)+Coefficienti!$B$7)*(1-Parametri!$B$3))*(1+Parametri!$B$4)+Ferramenta!$D$11+Coefficienti!$B$8*Parametri!$B$5,2)</f>
        <v>386.74</v>
      </c>
      <c r="C20" s="4" t="n">
        <f aca="false">ROUND(((Coefficienti!$B$1+Coefficienti!$B$2*C$15+Coefficienti!$B$3*$A20)*Parametri!$B$1*(1-Parametri!$B$2)+((Coefficienti!$B$4+Coefficienti!$B$5*C$15+Coefficienti!$B$6*$A20)+Coefficienti!$B$7)*(1-Parametri!$B$3))*(1+Parametri!$B$4)+Ferramenta!$D$11+Coefficienti!$B$8*Parametri!$B$5,2)</f>
        <v>393.12</v>
      </c>
      <c r="D20" s="4" t="n">
        <f aca="false">ROUND(((Coefficienti!$B$1+Coefficienti!$B$2*D$15+Coefficienti!$B$3*$A20)*Parametri!$B$1*(1-Parametri!$B$2)+((Coefficienti!$B$4+Coefficienti!$B$5*D$15+Coefficienti!$B$6*$A20)+Coefficienti!$B$7)*(1-Parametri!$B$3))*(1+Parametri!$B$4)+Ferramenta!$D$11+Coefficienti!$B$8*Parametri!$B$5,2)</f>
        <v>399.49</v>
      </c>
      <c r="E20" s="4" t="n">
        <f aca="false">ROUND(((Coefficienti!$B$1+Coefficienti!$B$2*E$15+Coefficienti!$B$3*$A20)*Parametri!$B$1*(1-Parametri!$B$2)+((Coefficienti!$B$4+Coefficienti!$B$5*E$15+Coefficienti!$B$6*$A20)+Coefficienti!$B$7)*(1-Parametri!$B$3))*(1+Parametri!$B$4)+Ferramenta!$D$11+Coefficienti!$B$8*Parametri!$B$5,2)</f>
        <v>405.87</v>
      </c>
      <c r="F20" s="4" t="n">
        <f aca="false">ROUND(((Coefficienti!$B$1+Coefficienti!$B$2*F$15+Coefficienti!$B$3*$A20)*Parametri!$B$1*(1-Parametri!$B$2)+((Coefficienti!$B$4+Coefficienti!$B$5*F$15+Coefficienti!$B$6*$A20)+Coefficienti!$B$7)*(1-Parametri!$B$3))*(1+Parametri!$B$4)+Ferramenta!$D$11+Coefficienti!$B$8*Parametri!$B$5,2)</f>
        <v>412.24</v>
      </c>
      <c r="G20" s="4" t="n">
        <f aca="false">ROUND(((Coefficienti!$B$1+Coefficienti!$B$2*G$15+Coefficienti!$B$3*$A20)*Parametri!$B$1*(1-Parametri!$B$2)+((Coefficienti!$B$4+Coefficienti!$B$5*G$15+Coefficienti!$B$6*$A20)+Coefficienti!$B$7)*(1-Parametri!$B$3))*(1+Parametri!$B$4)+Ferramenta!$D$11+Coefficienti!$B$8*Parametri!$B$5,2)</f>
        <v>418.62</v>
      </c>
      <c r="H20" s="4" t="n">
        <f aca="false">ROUND(((Coefficienti!$B$1+Coefficienti!$B$2*H$15+Coefficienti!$B$3*$A20)*Parametri!$B$1*(1-Parametri!$B$2)+((Coefficienti!$B$4+Coefficienti!$B$5*H$15+Coefficienti!$B$6*$A20)+Coefficienti!$B$7)*(1-Parametri!$B$3))*(1+Parametri!$B$4)+Ferramenta!$D$11+Coefficienti!$B$8*Parametri!$B$5,2)</f>
        <v>424.99</v>
      </c>
      <c r="I20" s="4" t="n">
        <f aca="false">ROUND(((Coefficienti!$B$1+Coefficienti!$B$2*I$15+Coefficienti!$B$3*$A20)*Parametri!$B$1*(1-Parametri!$B$2)+((Coefficienti!$B$4+Coefficienti!$B$5*I$15+Coefficienti!$B$6*$A20)+Coefficienti!$B$7)*(1-Parametri!$B$3))*(1+Parametri!$B$4)+Ferramenta!$D$11+Coefficienti!$B$8*Parametri!$B$5,2)</f>
        <v>431.37</v>
      </c>
    </row>
    <row r="21" customFormat="false" ht="15" hidden="false" customHeight="false" outlineLevel="0" collapsed="false">
      <c r="A21" s="2" t="n">
        <v>2400</v>
      </c>
      <c r="B21" s="4" t="n">
        <f aca="false">ROUND(((Coefficienti!$B$1+Coefficienti!$B$2*B$15+Coefficienti!$B$3*$A21)*Parametri!$B$1*(1-Parametri!$B$2)+((Coefficienti!$B$4+Coefficienti!$B$5*B$15+Coefficienti!$B$6*$A21)+Coefficienti!$B$7)*(1-Parametri!$B$3))*(1+Parametri!$B$4)+Ferramenta!$D$11+Coefficienti!$B$8*Parametri!$B$5,2)</f>
        <v>393.14</v>
      </c>
      <c r="C21" s="4" t="n">
        <f aca="false">ROUND(((Coefficienti!$B$1+Coefficienti!$B$2*C$15+Coefficienti!$B$3*$A21)*Parametri!$B$1*(1-Parametri!$B$2)+((Coefficienti!$B$4+Coefficienti!$B$5*C$15+Coefficienti!$B$6*$A21)+Coefficienti!$B$7)*(1-Parametri!$B$3))*(1+Parametri!$B$4)+Ferramenta!$D$11+Coefficienti!$B$8*Parametri!$B$5,2)</f>
        <v>399.52</v>
      </c>
      <c r="D21" s="4" t="n">
        <f aca="false">ROUND(((Coefficienti!$B$1+Coefficienti!$B$2*D$15+Coefficienti!$B$3*$A21)*Parametri!$B$1*(1-Parametri!$B$2)+((Coefficienti!$B$4+Coefficienti!$B$5*D$15+Coefficienti!$B$6*$A21)+Coefficienti!$B$7)*(1-Parametri!$B$3))*(1+Parametri!$B$4)+Ferramenta!$D$11+Coefficienti!$B$8*Parametri!$B$5,2)</f>
        <v>405.89</v>
      </c>
      <c r="E21" s="4" t="n">
        <f aca="false">ROUND(((Coefficienti!$B$1+Coefficienti!$B$2*E$15+Coefficienti!$B$3*$A21)*Parametri!$B$1*(1-Parametri!$B$2)+((Coefficienti!$B$4+Coefficienti!$B$5*E$15+Coefficienti!$B$6*$A21)+Coefficienti!$B$7)*(1-Parametri!$B$3))*(1+Parametri!$B$4)+Ferramenta!$D$11+Coefficienti!$B$8*Parametri!$B$5,2)</f>
        <v>412.27</v>
      </c>
      <c r="F21" s="4" t="n">
        <f aca="false">ROUND(((Coefficienti!$B$1+Coefficienti!$B$2*F$15+Coefficienti!$B$3*$A21)*Parametri!$B$1*(1-Parametri!$B$2)+((Coefficienti!$B$4+Coefficienti!$B$5*F$15+Coefficienti!$B$6*$A21)+Coefficienti!$B$7)*(1-Parametri!$B$3))*(1+Parametri!$B$4)+Ferramenta!$D$11+Coefficienti!$B$8*Parametri!$B$5,2)</f>
        <v>418.64</v>
      </c>
      <c r="G21" s="4" t="n">
        <f aca="false">ROUND(((Coefficienti!$B$1+Coefficienti!$B$2*G$15+Coefficienti!$B$3*$A21)*Parametri!$B$1*(1-Parametri!$B$2)+((Coefficienti!$B$4+Coefficienti!$B$5*G$15+Coefficienti!$B$6*$A21)+Coefficienti!$B$7)*(1-Parametri!$B$3))*(1+Parametri!$B$4)+Ferramenta!$D$11+Coefficienti!$B$8*Parametri!$B$5,2)</f>
        <v>425.02</v>
      </c>
      <c r="H21" s="4" t="n">
        <f aca="false">ROUND(((Coefficienti!$B$1+Coefficienti!$B$2*H$15+Coefficienti!$B$3*$A21)*Parametri!$B$1*(1-Parametri!$B$2)+((Coefficienti!$B$4+Coefficienti!$B$5*H$15+Coefficienti!$B$6*$A21)+Coefficienti!$B$7)*(1-Parametri!$B$3))*(1+Parametri!$B$4)+Ferramenta!$D$11+Coefficienti!$B$8*Parametri!$B$5,2)</f>
        <v>431.39</v>
      </c>
      <c r="I21" s="4" t="n">
        <f aca="false">ROUND(((Coefficienti!$B$1+Coefficienti!$B$2*I$15+Coefficienti!$B$3*$A21)*Parametri!$B$1*(1-Parametri!$B$2)+((Coefficienti!$B$4+Coefficienti!$B$5*I$15+Coefficienti!$B$6*$A21)+Coefficienti!$B$7)*(1-Parametri!$B$3))*(1+Parametri!$B$4)+Ferramenta!$D$11+Coefficienti!$B$8*Parametri!$B$5,2)</f>
        <v>437.77</v>
      </c>
    </row>
    <row r="22" customFormat="false" ht="15" hidden="false" customHeight="false" outlineLevel="0" collapsed="false">
      <c r="A22" s="2" t="n">
        <v>2500</v>
      </c>
      <c r="B22" s="4" t="n">
        <f aca="false">ROUND(((Coefficienti!$B$1+Coefficienti!$B$2*B$15+Coefficienti!$B$3*$A22)*Parametri!$B$1*(1-Parametri!$B$2)+((Coefficienti!$B$4+Coefficienti!$B$5*B$15+Coefficienti!$B$6*$A22)+Coefficienti!$B$7)*(1-Parametri!$B$3))*(1+Parametri!$B$4)+Ferramenta!$D$11+Coefficienti!$B$8*Parametri!$B$5,2)</f>
        <v>399.55</v>
      </c>
      <c r="C22" s="4" t="n">
        <f aca="false">ROUND(((Coefficienti!$B$1+Coefficienti!$B$2*C$15+Coefficienti!$B$3*$A22)*Parametri!$B$1*(1-Parametri!$B$2)+((Coefficienti!$B$4+Coefficienti!$B$5*C$15+Coefficienti!$B$6*$A22)+Coefficienti!$B$7)*(1-Parametri!$B$3))*(1+Parametri!$B$4)+Ferramenta!$D$11+Coefficienti!$B$8*Parametri!$B$5,2)</f>
        <v>405.92</v>
      </c>
      <c r="D22" s="4" t="n">
        <f aca="false">ROUND(((Coefficienti!$B$1+Coefficienti!$B$2*D$15+Coefficienti!$B$3*$A22)*Parametri!$B$1*(1-Parametri!$B$2)+((Coefficienti!$B$4+Coefficienti!$B$5*D$15+Coefficienti!$B$6*$A22)+Coefficienti!$B$7)*(1-Parametri!$B$3))*(1+Parametri!$B$4)+Ferramenta!$D$11+Coefficienti!$B$8*Parametri!$B$5,2)</f>
        <v>412.3</v>
      </c>
      <c r="E22" s="4" t="n">
        <f aca="false">ROUND(((Coefficienti!$B$1+Coefficienti!$B$2*E$15+Coefficienti!$B$3*$A22)*Parametri!$B$1*(1-Parametri!$B$2)+((Coefficienti!$B$4+Coefficienti!$B$5*E$15+Coefficienti!$B$6*$A22)+Coefficienti!$B$7)*(1-Parametri!$B$3))*(1+Parametri!$B$4)+Ferramenta!$D$11+Coefficienti!$B$8*Parametri!$B$5,2)</f>
        <v>418.67</v>
      </c>
      <c r="F22" s="4" t="n">
        <f aca="false">ROUND(((Coefficienti!$B$1+Coefficienti!$B$2*F$15+Coefficienti!$B$3*$A22)*Parametri!$B$1*(1-Parametri!$B$2)+((Coefficienti!$B$4+Coefficienti!$B$5*F$15+Coefficienti!$B$6*$A22)+Coefficienti!$B$7)*(1-Parametri!$B$3))*(1+Parametri!$B$4)+Ferramenta!$D$11+Coefficienti!$B$8*Parametri!$B$5,2)</f>
        <v>425.05</v>
      </c>
      <c r="G22" s="4" t="n">
        <f aca="false">ROUND(((Coefficienti!$B$1+Coefficienti!$B$2*G$15+Coefficienti!$B$3*$A22)*Parametri!$B$1*(1-Parametri!$B$2)+((Coefficienti!$B$4+Coefficienti!$B$5*G$15+Coefficienti!$B$6*$A22)+Coefficienti!$B$7)*(1-Parametri!$B$3))*(1+Parametri!$B$4)+Ferramenta!$D$11+Coefficienti!$B$8*Parametri!$B$5,2)</f>
        <v>431.42</v>
      </c>
      <c r="H22" s="4" t="n">
        <f aca="false">ROUND(((Coefficienti!$B$1+Coefficienti!$B$2*H$15+Coefficienti!$B$3*$A22)*Parametri!$B$1*(1-Parametri!$B$2)+((Coefficienti!$B$4+Coefficienti!$B$5*H$15+Coefficienti!$B$6*$A22)+Coefficienti!$B$7)*(1-Parametri!$B$3))*(1+Parametri!$B$4)+Ferramenta!$D$11+Coefficienti!$B$8*Parametri!$B$5,2)</f>
        <v>437.8</v>
      </c>
      <c r="I22" s="4" t="n">
        <f aca="false">ROUND(((Coefficienti!$B$1+Coefficienti!$B$2*I$15+Coefficienti!$B$3*$A22)*Parametri!$B$1*(1-Parametri!$B$2)+((Coefficienti!$B$4+Coefficienti!$B$5*I$15+Coefficienti!$B$6*$A22)+Coefficienti!$B$7)*(1-Parametri!$B$3))*(1+Parametri!$B$4)+Ferramenta!$D$11+Coefficienti!$B$8*Parametri!$B$5,2)</f>
        <v>444.17</v>
      </c>
    </row>
    <row r="23" customFormat="false" ht="15" hidden="false" customHeight="false" outlineLevel="0" collapsed="false">
      <c r="A23" s="2" t="n">
        <v>2600</v>
      </c>
      <c r="B23" s="4" t="n">
        <f aca="false">ROUND(((Coefficienti!$B$1+Coefficienti!$B$2*B$15+Coefficienti!$B$3*$A23)*Parametri!$B$1*(1-Parametri!$B$2)+((Coefficienti!$B$4+Coefficienti!$B$5*B$15+Coefficienti!$B$6*$A23)+Coefficienti!$B$7)*(1-Parametri!$B$3))*(1+Parametri!$B$4)+Ferramenta!$D$11+Coefficienti!$B$8*Parametri!$B$5,2)</f>
        <v>405.95</v>
      </c>
      <c r="C23" s="4" t="n">
        <f aca="false">ROUND(((Coefficienti!$B$1+Coefficienti!$B$2*C$15+Coefficienti!$B$3*$A23)*Parametri!$B$1*(1-Parametri!$B$2)+((Coefficienti!$B$4+Coefficienti!$B$5*C$15+Coefficienti!$B$6*$A23)+Coefficienti!$B$7)*(1-Parametri!$B$3))*(1+Parametri!$B$4)+Ferramenta!$D$11+Coefficienti!$B$8*Parametri!$B$5,2)</f>
        <v>412.32</v>
      </c>
      <c r="D23" s="4" t="n">
        <f aca="false">ROUND(((Coefficienti!$B$1+Coefficienti!$B$2*D$15+Coefficienti!$B$3*$A23)*Parametri!$B$1*(1-Parametri!$B$2)+((Coefficienti!$B$4+Coefficienti!$B$5*D$15+Coefficienti!$B$6*$A23)+Coefficienti!$B$7)*(1-Parametri!$B$3))*(1+Parametri!$B$4)+Ferramenta!$D$11+Coefficienti!$B$8*Parametri!$B$5,2)</f>
        <v>418.7</v>
      </c>
      <c r="E23" s="4" t="n">
        <f aca="false">ROUND(((Coefficienti!$B$1+Coefficienti!$B$2*E$15+Coefficienti!$B$3*$A23)*Parametri!$B$1*(1-Parametri!$B$2)+((Coefficienti!$B$4+Coefficienti!$B$5*E$15+Coefficienti!$B$6*$A23)+Coefficienti!$B$7)*(1-Parametri!$B$3))*(1+Parametri!$B$4)+Ferramenta!$D$11+Coefficienti!$B$8*Parametri!$B$5,2)</f>
        <v>425.07</v>
      </c>
      <c r="F23" s="4" t="n">
        <f aca="false">ROUND(((Coefficienti!$B$1+Coefficienti!$B$2*F$15+Coefficienti!$B$3*$A23)*Parametri!$B$1*(1-Parametri!$B$2)+((Coefficienti!$B$4+Coefficienti!$B$5*F$15+Coefficienti!$B$6*$A23)+Coefficienti!$B$7)*(1-Parametri!$B$3))*(1+Parametri!$B$4)+Ferramenta!$D$11+Coefficienti!$B$8*Parametri!$B$5,2)</f>
        <v>431.45</v>
      </c>
      <c r="G23" s="4" t="n">
        <f aca="false">ROUND(((Coefficienti!$B$1+Coefficienti!$B$2*G$15+Coefficienti!$B$3*$A23)*Parametri!$B$1*(1-Parametri!$B$2)+((Coefficienti!$B$4+Coefficienti!$B$5*G$15+Coefficienti!$B$6*$A23)+Coefficienti!$B$7)*(1-Parametri!$B$3))*(1+Parametri!$B$4)+Ferramenta!$D$11+Coefficienti!$B$8*Parametri!$B$5,2)</f>
        <v>437.82</v>
      </c>
      <c r="H23" s="4" t="n">
        <f aca="false">ROUND(((Coefficienti!$B$1+Coefficienti!$B$2*H$15+Coefficienti!$B$3*$A23)*Parametri!$B$1*(1-Parametri!$B$2)+((Coefficienti!$B$4+Coefficienti!$B$5*H$15+Coefficienti!$B$6*$A23)+Coefficienti!$B$7)*(1-Parametri!$B$3))*(1+Parametri!$B$4)+Ferramenta!$D$11+Coefficienti!$B$8*Parametri!$B$5,2)</f>
        <v>444.2</v>
      </c>
      <c r="I23" s="4" t="n">
        <f aca="false">ROUND(((Coefficienti!$B$1+Coefficienti!$B$2*I$15+Coefficienti!$B$3*$A23)*Parametri!$B$1*(1-Parametri!$B$2)+((Coefficienti!$B$4+Coefficienti!$B$5*I$15+Coefficienti!$B$6*$A23)+Coefficienti!$B$7)*(1-Parametri!$B$3))*(1+Parametri!$B$4)+Ferramenta!$D$11+Coefficienti!$B$8*Parametri!$B$5,2)</f>
        <v>450.57</v>
      </c>
    </row>
    <row r="24" customFormat="false" ht="15" hidden="false" customHeight="false" outlineLevel="0" collapsed="false">
      <c r="A24" s="2" t="n">
        <v>2700</v>
      </c>
      <c r="B24" s="4" t="n">
        <f aca="false">ROUND(((Coefficienti!$B$1+Coefficienti!$B$2*B$15+Coefficienti!$B$3*$A24)*Parametri!$B$1*(1-Parametri!$B$2)+((Coefficienti!$B$4+Coefficienti!$B$5*B$15+Coefficienti!$B$6*$A24)+Coefficienti!$B$7)*(1-Parametri!$B$3))*(1+Parametri!$B$4)+Ferramenta!$D$11+Coefficienti!$B$8*Parametri!$B$5,2)</f>
        <v>412.35</v>
      </c>
      <c r="C24" s="4" t="n">
        <f aca="false">ROUND(((Coefficienti!$B$1+Coefficienti!$B$2*C$15+Coefficienti!$B$3*$A24)*Parametri!$B$1*(1-Parametri!$B$2)+((Coefficienti!$B$4+Coefficienti!$B$5*C$15+Coefficienti!$B$6*$A24)+Coefficienti!$B$7)*(1-Parametri!$B$3))*(1+Parametri!$B$4)+Ferramenta!$D$11+Coefficienti!$B$8*Parametri!$B$5,2)</f>
        <v>418.72</v>
      </c>
      <c r="D24" s="4" t="n">
        <f aca="false">ROUND(((Coefficienti!$B$1+Coefficienti!$B$2*D$15+Coefficienti!$B$3*$A24)*Parametri!$B$1*(1-Parametri!$B$2)+((Coefficienti!$B$4+Coefficienti!$B$5*D$15+Coefficienti!$B$6*$A24)+Coefficienti!$B$7)*(1-Parametri!$B$3))*(1+Parametri!$B$4)+Ferramenta!$D$11+Coefficienti!$B$8*Parametri!$B$5,2)</f>
        <v>425.1</v>
      </c>
      <c r="E24" s="4" t="n">
        <f aca="false">ROUND(((Coefficienti!$B$1+Coefficienti!$B$2*E$15+Coefficienti!$B$3*$A24)*Parametri!$B$1*(1-Parametri!$B$2)+((Coefficienti!$B$4+Coefficienti!$B$5*E$15+Coefficienti!$B$6*$A24)+Coefficienti!$B$7)*(1-Parametri!$B$3))*(1+Parametri!$B$4)+Ferramenta!$D$11+Coefficienti!$B$8*Parametri!$B$5,2)</f>
        <v>431.47</v>
      </c>
      <c r="F24" s="4" t="n">
        <f aca="false">ROUND(((Coefficienti!$B$1+Coefficienti!$B$2*F$15+Coefficienti!$B$3*$A24)*Parametri!$B$1*(1-Parametri!$B$2)+((Coefficienti!$B$4+Coefficienti!$B$5*F$15+Coefficienti!$B$6*$A24)+Coefficienti!$B$7)*(1-Parametri!$B$3))*(1+Parametri!$B$4)+Ferramenta!$D$11+Coefficienti!$B$8*Parametri!$B$5,2)</f>
        <v>437.85</v>
      </c>
      <c r="G24" s="4" t="n">
        <f aca="false">ROUND(((Coefficienti!$B$1+Coefficienti!$B$2*G$15+Coefficienti!$B$3*$A24)*Parametri!$B$1*(1-Parametri!$B$2)+((Coefficienti!$B$4+Coefficienti!$B$5*G$15+Coefficienti!$B$6*$A24)+Coefficienti!$B$7)*(1-Parametri!$B$3))*(1+Parametri!$B$4)+Ferramenta!$D$11+Coefficienti!$B$8*Parametri!$B$5,2)</f>
        <v>444.22</v>
      </c>
      <c r="H24" s="4" t="n">
        <f aca="false">ROUND(((Coefficienti!$B$1+Coefficienti!$B$2*H$15+Coefficienti!$B$3*$A24)*Parametri!$B$1*(1-Parametri!$B$2)+((Coefficienti!$B$4+Coefficienti!$B$5*H$15+Coefficienti!$B$6*$A24)+Coefficienti!$B$7)*(1-Parametri!$B$3))*(1+Parametri!$B$4)+Ferramenta!$D$11+Coefficienti!$B$8*Parametri!$B$5,2)</f>
        <v>450.6</v>
      </c>
      <c r="I24" s="4" t="n">
        <f aca="false">ROUND(((Coefficienti!$B$1+Coefficienti!$B$2*I$15+Coefficienti!$B$3*$A24)*Parametri!$B$1*(1-Parametri!$B$2)+((Coefficienti!$B$4+Coefficienti!$B$5*I$15+Coefficienti!$B$6*$A24)+Coefficienti!$B$7)*(1-Parametri!$B$3))*(1+Parametri!$B$4)+Ferramenta!$D$11+Coefficienti!$B$8*Parametri!$B$5,2)</f>
        <v>456.97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5" t="s">
        <v>3</v>
      </c>
      <c r="B1" s="6" t="n">
        <v>14.82</v>
      </c>
    </row>
    <row r="2" customFormat="false" ht="15" hidden="false" customHeight="false" outlineLevel="0" collapsed="false">
      <c r="A2" s="5" t="s">
        <v>4</v>
      </c>
      <c r="B2" s="7" t="n">
        <v>0.43</v>
      </c>
    </row>
    <row r="3" customFormat="false" ht="15" hidden="false" customHeight="false" outlineLevel="0" collapsed="false">
      <c r="A3" s="5" t="s">
        <v>5</v>
      </c>
      <c r="B3" s="7" t="n">
        <v>0.2</v>
      </c>
    </row>
    <row r="4" customFormat="false" ht="15" hidden="false" customHeight="false" outlineLevel="0" collapsed="false">
      <c r="A4" s="5" t="s">
        <v>6</v>
      </c>
      <c r="B4" s="7" t="n">
        <v>0.09</v>
      </c>
    </row>
    <row r="5" customFormat="false" ht="15" hidden="false" customHeight="false" outlineLevel="0" collapsed="false">
      <c r="A5" s="5" t="s">
        <v>7</v>
      </c>
      <c r="B5" s="6" t="n">
        <v>65</v>
      </c>
    </row>
    <row r="6" customFormat="false" ht="15" hidden="false" customHeight="false" outlineLevel="0" collapsed="false">
      <c r="A6" s="5" t="s">
        <v>8</v>
      </c>
      <c r="B6" s="7" t="n">
        <v>2.13</v>
      </c>
    </row>
    <row r="8" customFormat="false" ht="15" hidden="false" customHeight="false" outlineLevel="0" collapsed="false">
      <c r="A8" s="5" t="s">
        <v>9</v>
      </c>
    </row>
    <row r="9" customFormat="false" ht="15" hidden="false" customHeight="false" outlineLevel="0" collapsed="false">
      <c r="A9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</cols>
  <sheetData>
    <row r="1" customFormat="false" ht="15" hidden="false" customHeight="false" outlineLevel="0" collapsed="false">
      <c r="A1" s="5" t="s">
        <v>11</v>
      </c>
      <c r="B1" s="5" t="n">
        <v>-0.51858</v>
      </c>
    </row>
    <row r="2" customFormat="false" ht="15" hidden="false" customHeight="false" outlineLevel="0" collapsed="false">
      <c r="A2" s="5" t="s">
        <v>12</v>
      </c>
      <c r="B2" s="5" t="n">
        <v>0.00655</v>
      </c>
    </row>
    <row r="3" customFormat="false" ht="15" hidden="false" customHeight="false" outlineLevel="0" collapsed="false">
      <c r="A3" s="5" t="s">
        <v>13</v>
      </c>
      <c r="B3" s="5" t="n">
        <v>0.00672</v>
      </c>
    </row>
    <row r="4" customFormat="false" ht="15" hidden="false" customHeight="false" outlineLevel="0" collapsed="false">
      <c r="A4" s="5" t="s">
        <v>14</v>
      </c>
      <c r="B4" s="5" t="n">
        <v>0.009812</v>
      </c>
    </row>
    <row r="5" customFormat="false" ht="15" hidden="false" customHeight="false" outlineLevel="0" collapsed="false">
      <c r="A5" s="5" t="s">
        <v>15</v>
      </c>
      <c r="B5" s="5" t="n">
        <v>0.003944</v>
      </c>
    </row>
    <row r="6" customFormat="false" ht="15" hidden="false" customHeight="false" outlineLevel="0" collapsed="false">
      <c r="A6" s="5" t="s">
        <v>16</v>
      </c>
      <c r="B6" s="5" t="n">
        <v>0.002453</v>
      </c>
    </row>
    <row r="7" customFormat="false" ht="15" hidden="false" customHeight="false" outlineLevel="0" collapsed="false">
      <c r="A7" s="5" t="s">
        <v>17</v>
      </c>
      <c r="B7" s="5" t="n">
        <v>29.52</v>
      </c>
    </row>
    <row r="8" customFormat="false" ht="15" hidden="false" customHeight="false" outlineLevel="0" collapsed="false">
      <c r="A8" s="5" t="s">
        <v>18</v>
      </c>
      <c r="B8" s="5" t="n">
        <v>2.66666667</v>
      </c>
    </row>
    <row r="10" customFormat="false" ht="15" hidden="false" customHeight="false" outlineLevel="0" collapsed="false">
      <c r="A10" s="5" t="s">
        <v>19</v>
      </c>
    </row>
    <row r="11" customFormat="false" ht="15" hidden="false" customHeight="false" outlineLevel="0" collapsed="false">
      <c r="A11" s="5" t="s">
        <v>20</v>
      </c>
    </row>
    <row r="12" customFormat="false" ht="15" hidden="false" customHeight="false" outlineLevel="0" collapsed="false">
      <c r="A12" s="5" t="s">
        <v>21</v>
      </c>
    </row>
    <row r="13" customFormat="false" ht="15" hidden="false" customHeight="false" outlineLevel="0" collapsed="false">
      <c r="A13" s="5" t="s">
        <v>22</v>
      </c>
    </row>
    <row r="14" customFormat="false" ht="15" hidden="false" customHeight="false" outlineLevel="0" collapsed="false">
      <c r="A14" s="5" t="s">
        <v>23</v>
      </c>
    </row>
    <row r="15" customFormat="false" ht="15" hidden="false" customHeight="false" outlineLevel="0" collapsed="false">
      <c r="A15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  <c r="D1" s="2" t="s">
        <v>28</v>
      </c>
    </row>
    <row r="2" customFormat="false" ht="15" hidden="false" customHeight="false" outlineLevel="0" collapsed="false">
      <c r="A2" s="5" t="s">
        <v>29</v>
      </c>
      <c r="B2" s="8" t="n">
        <v>1</v>
      </c>
      <c r="C2" s="6" t="n">
        <v>5.5</v>
      </c>
      <c r="D2" s="4" t="n">
        <f aca="false">B2*C2</f>
        <v>5.5</v>
      </c>
    </row>
    <row r="3" customFormat="false" ht="15" hidden="false" customHeight="false" outlineLevel="0" collapsed="false">
      <c r="A3" s="5" t="s">
        <v>30</v>
      </c>
      <c r="B3" s="8" t="n">
        <v>1</v>
      </c>
      <c r="C3" s="6" t="n">
        <v>3.57</v>
      </c>
      <c r="D3" s="4" t="n">
        <f aca="false">B3*C3</f>
        <v>3.57</v>
      </c>
    </row>
    <row r="4" customFormat="false" ht="15" hidden="false" customHeight="false" outlineLevel="0" collapsed="false">
      <c r="A4" s="5" t="s">
        <v>31</v>
      </c>
      <c r="B4" s="8" t="n">
        <v>1</v>
      </c>
      <c r="C4" s="6" t="n">
        <v>1.26</v>
      </c>
      <c r="D4" s="4" t="n">
        <f aca="false">B4*C4</f>
        <v>1.26</v>
      </c>
    </row>
    <row r="5" customFormat="false" ht="15" hidden="false" customHeight="false" outlineLevel="0" collapsed="false">
      <c r="A5" s="5" t="s">
        <v>32</v>
      </c>
      <c r="B5" s="8" t="n">
        <v>1</v>
      </c>
      <c r="C5" s="6" t="n">
        <v>1.33</v>
      </c>
      <c r="D5" s="4" t="n">
        <f aca="false">B5*C5</f>
        <v>1.33</v>
      </c>
    </row>
    <row r="6" customFormat="false" ht="15" hidden="false" customHeight="false" outlineLevel="0" collapsed="false">
      <c r="A6" s="5" t="s">
        <v>33</v>
      </c>
      <c r="B6" s="8" t="n">
        <v>1</v>
      </c>
      <c r="C6" s="6" t="n">
        <v>0.92</v>
      </c>
      <c r="D6" s="4" t="n">
        <f aca="false">B6*C6</f>
        <v>0.92</v>
      </c>
    </row>
    <row r="7" customFormat="false" ht="15" hidden="false" customHeight="false" outlineLevel="0" collapsed="false">
      <c r="A7" s="5" t="s">
        <v>34</v>
      </c>
      <c r="B7" s="8" t="n">
        <v>2</v>
      </c>
      <c r="C7" s="6" t="n">
        <v>0.373</v>
      </c>
      <c r="D7" s="4" t="n">
        <f aca="false">B7*C7</f>
        <v>0.746</v>
      </c>
    </row>
    <row r="8" customFormat="false" ht="15" hidden="false" customHeight="false" outlineLevel="0" collapsed="false">
      <c r="A8" s="5" t="s">
        <v>35</v>
      </c>
      <c r="B8" s="8" t="n">
        <v>4</v>
      </c>
      <c r="C8" s="6" t="n">
        <v>0</v>
      </c>
      <c r="D8" s="4" t="n">
        <f aca="false">B8*C8</f>
        <v>0</v>
      </c>
    </row>
    <row r="9" customFormat="false" ht="15" hidden="false" customHeight="false" outlineLevel="0" collapsed="false">
      <c r="A9" s="5" t="s">
        <v>36</v>
      </c>
      <c r="B9" s="8" t="n">
        <v>1</v>
      </c>
      <c r="C9" s="6" t="n">
        <v>0</v>
      </c>
      <c r="D9" s="4" t="n">
        <f aca="false">B9*C9</f>
        <v>0</v>
      </c>
    </row>
    <row r="10" customFormat="false" ht="15" hidden="false" customHeight="false" outlineLevel="0" collapsed="false">
      <c r="A10" s="5" t="s">
        <v>37</v>
      </c>
      <c r="B10" s="8" t="n">
        <v>1</v>
      </c>
      <c r="C10" s="6" t="n">
        <v>0</v>
      </c>
      <c r="D10" s="4" t="n">
        <f aca="false">B10*C10</f>
        <v>0</v>
      </c>
    </row>
    <row r="11" customFormat="false" ht="15" hidden="false" customHeight="false" outlineLevel="0" collapsed="false">
      <c r="A11" s="9" t="s">
        <v>38</v>
      </c>
      <c r="D11" s="10" t="n">
        <f aca="false">SUM(D2:D10)</f>
        <v>13.326</v>
      </c>
    </row>
    <row r="13" customFormat="false" ht="15" hidden="false" customHeight="false" outlineLevel="0" collapsed="false">
      <c r="A13" s="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2026-09-02T19:56:29Z</dcterms:created>
  <dc:creator>openpyxl</dc:creator>
  <dc:description/>
  <dc:language>en-US</dc:language>
  <cp:lastModifiedBy/>
  <dcterms:modified xsi:type="dcterms:W3CDTF">2026-09-02T19:56:29Z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